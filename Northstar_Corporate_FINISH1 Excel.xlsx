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esktop\"/>
    </mc:Choice>
  </mc:AlternateContent>
  <xr:revisionPtr revIDLastSave="0" documentId="8_{4996BB8B-D366-48F1-9731-D00FD2DC90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_Data" sheetId="1" r:id="rId1"/>
    <sheet name="Sheet1" sheetId="3" r:id="rId2"/>
    <sheet name="Lookup_Table" sheetId="2" r:id="rId3"/>
  </sheets>
  <definedNames>
    <definedName name="_xlnm._FilterDatabase" localSheetId="0" hidden="1">Employee_Data!$A$1:$T$101</definedName>
  </definedName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8" i="3"/>
  <c r="C6" i="3"/>
  <c r="C7" i="3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3" i="1"/>
  <c r="AD2" i="1" l="1"/>
  <c r="AC2" i="1"/>
  <c r="AB2" i="1"/>
  <c r="Q106" i="1"/>
  <c r="M213" i="1"/>
  <c r="M214" i="1"/>
  <c r="M215" i="1"/>
  <c r="M216" i="1"/>
  <c r="M212" i="1"/>
  <c r="J213" i="1"/>
  <c r="J214" i="1"/>
  <c r="J215" i="1"/>
  <c r="J216" i="1"/>
  <c r="J212" i="1"/>
  <c r="G213" i="1"/>
  <c r="G214" i="1"/>
  <c r="G215" i="1"/>
  <c r="G216" i="1"/>
  <c r="G212" i="1"/>
  <c r="D213" i="1"/>
  <c r="D214" i="1"/>
  <c r="D215" i="1"/>
  <c r="D216" i="1"/>
  <c r="D217" i="1"/>
  <c r="D212" i="1"/>
  <c r="Y3" i="1" l="1"/>
  <c r="Z3" i="1" s="1"/>
  <c r="AA3" i="1" s="1"/>
  <c r="AE3" i="1" s="1" a="1"/>
  <c r="AE3" i="1" s="1"/>
  <c r="Y4" i="1"/>
  <c r="Z4" i="1" s="1"/>
  <c r="AA4" i="1" s="1"/>
  <c r="AE4" i="1" s="1" a="1"/>
  <c r="AE4" i="1" s="1"/>
  <c r="Y5" i="1"/>
  <c r="Z5" i="1" s="1"/>
  <c r="AA5" i="1" s="1"/>
  <c r="AE5" i="1" s="1" a="1"/>
  <c r="AE5" i="1" s="1"/>
  <c r="Y6" i="1"/>
  <c r="Z6" i="1" s="1"/>
  <c r="AA6" i="1" s="1"/>
  <c r="AE6" i="1" s="1" a="1"/>
  <c r="AE6" i="1" s="1"/>
  <c r="Y7" i="1"/>
  <c r="Z7" i="1" s="1"/>
  <c r="AA7" i="1" s="1"/>
  <c r="AE7" i="1" s="1" a="1"/>
  <c r="AE7" i="1" s="1"/>
  <c r="Y8" i="1"/>
  <c r="Z8" i="1" s="1"/>
  <c r="AA8" i="1" s="1"/>
  <c r="AE8" i="1" s="1" a="1"/>
  <c r="AE8" i="1" s="1"/>
  <c r="Y9" i="1"/>
  <c r="Z9" i="1" s="1"/>
  <c r="AA9" i="1" s="1"/>
  <c r="AE9" i="1" s="1" a="1"/>
  <c r="AE9" i="1" s="1"/>
  <c r="Y10" i="1"/>
  <c r="Z10" i="1" s="1"/>
  <c r="AA10" i="1" s="1"/>
  <c r="AE10" i="1" s="1" a="1"/>
  <c r="AE10" i="1" s="1"/>
  <c r="Y11" i="1"/>
  <c r="Z11" i="1" s="1"/>
  <c r="AA11" i="1" s="1"/>
  <c r="AE11" i="1" s="1" a="1"/>
  <c r="AE11" i="1" s="1"/>
  <c r="Y12" i="1"/>
  <c r="Z12" i="1" s="1"/>
  <c r="AA12" i="1" s="1"/>
  <c r="AE12" i="1" s="1" a="1"/>
  <c r="AE12" i="1" s="1"/>
  <c r="Y13" i="1"/>
  <c r="Z13" i="1" s="1"/>
  <c r="AA13" i="1" s="1"/>
  <c r="AE13" i="1" s="1" a="1"/>
  <c r="AE13" i="1" s="1"/>
  <c r="Y14" i="1"/>
  <c r="Z14" i="1" s="1"/>
  <c r="AA14" i="1" s="1"/>
  <c r="AE14" i="1" s="1" a="1"/>
  <c r="AE14" i="1" s="1"/>
  <c r="Y15" i="1"/>
  <c r="Z15" i="1" s="1"/>
  <c r="AA15" i="1" s="1"/>
  <c r="AE15" i="1" s="1" a="1"/>
  <c r="AE15" i="1" s="1"/>
  <c r="Y16" i="1"/>
  <c r="Z16" i="1" s="1"/>
  <c r="AA16" i="1" s="1"/>
  <c r="AE16" i="1" s="1" a="1"/>
  <c r="AE16" i="1" s="1"/>
  <c r="Y17" i="1"/>
  <c r="Z17" i="1" s="1"/>
  <c r="AA17" i="1" s="1"/>
  <c r="AE17" i="1" s="1" a="1"/>
  <c r="AE17" i="1" s="1"/>
  <c r="Y18" i="1"/>
  <c r="Z18" i="1" s="1"/>
  <c r="AA18" i="1" s="1"/>
  <c r="AE18" i="1" s="1" a="1"/>
  <c r="AE18" i="1" s="1"/>
  <c r="Y19" i="1"/>
  <c r="Z19" i="1" s="1"/>
  <c r="AA19" i="1" s="1"/>
  <c r="AE19" i="1" s="1" a="1"/>
  <c r="AE19" i="1" s="1"/>
  <c r="Y20" i="1"/>
  <c r="Z20" i="1" s="1"/>
  <c r="AA20" i="1" s="1"/>
  <c r="AE20" i="1" s="1" a="1"/>
  <c r="AE20" i="1" s="1"/>
  <c r="Y21" i="1"/>
  <c r="Z21" i="1" s="1"/>
  <c r="AA21" i="1" s="1"/>
  <c r="AE21" i="1" s="1" a="1"/>
  <c r="AE21" i="1" s="1"/>
  <c r="Y22" i="1"/>
  <c r="Z22" i="1" s="1"/>
  <c r="AA22" i="1" s="1"/>
  <c r="AE22" i="1" s="1" a="1"/>
  <c r="AE22" i="1" s="1"/>
  <c r="Y23" i="1"/>
  <c r="Z23" i="1" s="1"/>
  <c r="AA23" i="1" s="1"/>
  <c r="AE23" i="1" s="1" a="1"/>
  <c r="AE23" i="1" s="1"/>
  <c r="Y24" i="1"/>
  <c r="Z24" i="1" s="1"/>
  <c r="AA24" i="1" s="1"/>
  <c r="AE24" i="1" s="1" a="1"/>
  <c r="AE24" i="1" s="1"/>
  <c r="Y25" i="1"/>
  <c r="Z25" i="1" s="1"/>
  <c r="AA25" i="1" s="1"/>
  <c r="AE25" i="1" s="1" a="1"/>
  <c r="AE25" i="1" s="1"/>
  <c r="Y26" i="1"/>
  <c r="Z26" i="1" s="1"/>
  <c r="AA26" i="1" s="1"/>
  <c r="AE26" i="1" s="1" a="1"/>
  <c r="AE26" i="1" s="1"/>
  <c r="Y27" i="1"/>
  <c r="Z27" i="1" s="1"/>
  <c r="AA27" i="1" s="1"/>
  <c r="AE27" i="1" s="1" a="1"/>
  <c r="AE27" i="1" s="1"/>
  <c r="Y28" i="1"/>
  <c r="Z28" i="1" s="1"/>
  <c r="AA28" i="1" s="1"/>
  <c r="AE28" i="1" s="1" a="1"/>
  <c r="AE28" i="1" s="1"/>
  <c r="Y29" i="1"/>
  <c r="Z29" i="1" s="1"/>
  <c r="AA29" i="1" s="1"/>
  <c r="AE29" i="1" s="1" a="1"/>
  <c r="AE29" i="1" s="1"/>
  <c r="Y30" i="1"/>
  <c r="Z30" i="1" s="1"/>
  <c r="AA30" i="1" s="1"/>
  <c r="AE30" i="1" s="1" a="1"/>
  <c r="AE30" i="1" s="1"/>
  <c r="Y31" i="1"/>
  <c r="Z31" i="1" s="1"/>
  <c r="AA31" i="1" s="1"/>
  <c r="AE31" i="1" s="1" a="1"/>
  <c r="AE31" i="1" s="1"/>
  <c r="Y32" i="1"/>
  <c r="Z32" i="1" s="1"/>
  <c r="AA32" i="1" s="1"/>
  <c r="AE32" i="1" s="1" a="1"/>
  <c r="AE32" i="1" s="1"/>
  <c r="Y33" i="1"/>
  <c r="Z33" i="1" s="1"/>
  <c r="AA33" i="1" s="1"/>
  <c r="AE33" i="1" s="1" a="1"/>
  <c r="AE33" i="1" s="1"/>
  <c r="Y34" i="1"/>
  <c r="Z34" i="1" s="1"/>
  <c r="AA34" i="1" s="1"/>
  <c r="AE34" i="1" s="1" a="1"/>
  <c r="AE34" i="1" s="1"/>
  <c r="Y35" i="1"/>
  <c r="Z35" i="1" s="1"/>
  <c r="AA35" i="1" s="1"/>
  <c r="AE35" i="1" s="1" a="1"/>
  <c r="AE35" i="1" s="1"/>
  <c r="Y36" i="1"/>
  <c r="Z36" i="1" s="1"/>
  <c r="AA36" i="1" s="1"/>
  <c r="AE36" i="1" s="1" a="1"/>
  <c r="AE36" i="1" s="1"/>
  <c r="Y37" i="1"/>
  <c r="Z37" i="1" s="1"/>
  <c r="AA37" i="1" s="1"/>
  <c r="AE37" i="1" s="1" a="1"/>
  <c r="AE37" i="1" s="1"/>
  <c r="Y38" i="1"/>
  <c r="Z38" i="1" s="1"/>
  <c r="AA38" i="1" s="1"/>
  <c r="AE38" i="1" s="1" a="1"/>
  <c r="AE38" i="1" s="1"/>
  <c r="Y39" i="1"/>
  <c r="Z39" i="1" s="1"/>
  <c r="AA39" i="1" s="1"/>
  <c r="AE39" i="1" s="1" a="1"/>
  <c r="AE39" i="1" s="1"/>
  <c r="Y40" i="1"/>
  <c r="Z40" i="1" s="1"/>
  <c r="AA40" i="1" s="1"/>
  <c r="AE40" i="1" s="1" a="1"/>
  <c r="AE40" i="1" s="1"/>
  <c r="Y41" i="1"/>
  <c r="Z41" i="1" s="1"/>
  <c r="AA41" i="1" s="1"/>
  <c r="AE41" i="1" s="1" a="1"/>
  <c r="AE41" i="1" s="1"/>
  <c r="Y42" i="1"/>
  <c r="Z42" i="1" s="1"/>
  <c r="AA42" i="1" s="1"/>
  <c r="AE42" i="1" s="1" a="1"/>
  <c r="AE42" i="1" s="1"/>
  <c r="Y43" i="1"/>
  <c r="Z43" i="1" s="1"/>
  <c r="AA43" i="1" s="1"/>
  <c r="AE43" i="1" s="1" a="1"/>
  <c r="AE43" i="1" s="1"/>
  <c r="Y44" i="1"/>
  <c r="Z44" i="1" s="1"/>
  <c r="AA44" i="1" s="1"/>
  <c r="AE44" i="1" s="1" a="1"/>
  <c r="AE44" i="1" s="1"/>
  <c r="Y45" i="1"/>
  <c r="Z45" i="1" s="1"/>
  <c r="AA45" i="1" s="1"/>
  <c r="AE45" i="1" s="1" a="1"/>
  <c r="AE45" i="1" s="1"/>
  <c r="Y46" i="1"/>
  <c r="Z46" i="1" s="1"/>
  <c r="AA46" i="1" s="1"/>
  <c r="AE46" i="1" s="1" a="1"/>
  <c r="AE46" i="1" s="1"/>
  <c r="Y47" i="1"/>
  <c r="Z47" i="1" s="1"/>
  <c r="AA47" i="1" s="1"/>
  <c r="AE47" i="1" s="1" a="1"/>
  <c r="AE47" i="1" s="1"/>
  <c r="Y48" i="1"/>
  <c r="Z48" i="1" s="1"/>
  <c r="AA48" i="1" s="1"/>
  <c r="AE48" i="1" s="1" a="1"/>
  <c r="AE48" i="1" s="1"/>
  <c r="Y49" i="1"/>
  <c r="Z49" i="1" s="1"/>
  <c r="AA49" i="1" s="1"/>
  <c r="AE49" i="1" s="1" a="1"/>
  <c r="AE49" i="1" s="1"/>
  <c r="Y50" i="1"/>
  <c r="Z50" i="1" s="1"/>
  <c r="AA50" i="1" s="1"/>
  <c r="AE50" i="1" s="1" a="1"/>
  <c r="AE50" i="1" s="1"/>
  <c r="Y51" i="1"/>
  <c r="Z51" i="1" s="1"/>
  <c r="AA51" i="1" s="1"/>
  <c r="AE51" i="1" s="1" a="1"/>
  <c r="AE51" i="1" s="1"/>
  <c r="Y52" i="1"/>
  <c r="Z52" i="1" s="1"/>
  <c r="AA52" i="1" s="1"/>
  <c r="AE52" i="1" s="1" a="1"/>
  <c r="AE52" i="1" s="1"/>
  <c r="Y53" i="1"/>
  <c r="Z53" i="1" s="1"/>
  <c r="AA53" i="1" s="1"/>
  <c r="AE53" i="1" s="1" a="1"/>
  <c r="AE53" i="1" s="1"/>
  <c r="Y54" i="1"/>
  <c r="Z54" i="1" s="1"/>
  <c r="AA54" i="1" s="1"/>
  <c r="AE54" i="1" s="1" a="1"/>
  <c r="AE54" i="1" s="1"/>
  <c r="Y55" i="1"/>
  <c r="Z55" i="1" s="1"/>
  <c r="AA55" i="1" s="1"/>
  <c r="AE55" i="1" s="1" a="1"/>
  <c r="AE55" i="1" s="1"/>
  <c r="Y56" i="1"/>
  <c r="Z56" i="1" s="1"/>
  <c r="AA56" i="1" s="1"/>
  <c r="AE56" i="1" s="1" a="1"/>
  <c r="AE56" i="1" s="1"/>
  <c r="Y57" i="1"/>
  <c r="Z57" i="1" s="1"/>
  <c r="AA57" i="1" s="1"/>
  <c r="AE57" i="1" s="1" a="1"/>
  <c r="AE57" i="1" s="1"/>
  <c r="Y58" i="1"/>
  <c r="Z58" i="1" s="1"/>
  <c r="AA58" i="1" s="1"/>
  <c r="AE58" i="1" s="1" a="1"/>
  <c r="AE58" i="1" s="1"/>
  <c r="Y59" i="1"/>
  <c r="Z59" i="1" s="1"/>
  <c r="AA59" i="1" s="1"/>
  <c r="AE59" i="1" s="1" a="1"/>
  <c r="AE59" i="1" s="1"/>
  <c r="Y60" i="1"/>
  <c r="Z60" i="1" s="1"/>
  <c r="AA60" i="1" s="1"/>
  <c r="AE60" i="1" s="1" a="1"/>
  <c r="AE60" i="1" s="1"/>
  <c r="Y61" i="1"/>
  <c r="Z61" i="1" s="1"/>
  <c r="AA61" i="1" s="1"/>
  <c r="AE61" i="1" s="1" a="1"/>
  <c r="AE61" i="1" s="1"/>
  <c r="Y62" i="1"/>
  <c r="Z62" i="1" s="1"/>
  <c r="AA62" i="1" s="1"/>
  <c r="AE62" i="1" s="1" a="1"/>
  <c r="AE62" i="1" s="1"/>
  <c r="Y63" i="1"/>
  <c r="Z63" i="1" s="1"/>
  <c r="AA63" i="1" s="1"/>
  <c r="AE63" i="1" s="1" a="1"/>
  <c r="AE63" i="1" s="1"/>
  <c r="Y64" i="1"/>
  <c r="Z64" i="1" s="1"/>
  <c r="AA64" i="1" s="1"/>
  <c r="AE64" i="1" s="1" a="1"/>
  <c r="AE64" i="1" s="1"/>
  <c r="Y65" i="1"/>
  <c r="Z65" i="1" s="1"/>
  <c r="AA65" i="1" s="1"/>
  <c r="AE65" i="1" s="1" a="1"/>
  <c r="AE65" i="1" s="1"/>
  <c r="Y66" i="1"/>
  <c r="Z66" i="1" s="1"/>
  <c r="AA66" i="1" s="1"/>
  <c r="AE66" i="1" s="1" a="1"/>
  <c r="AE66" i="1" s="1"/>
  <c r="Y67" i="1"/>
  <c r="Z67" i="1" s="1"/>
  <c r="AA67" i="1" s="1"/>
  <c r="AE67" i="1" s="1" a="1"/>
  <c r="AE67" i="1" s="1"/>
  <c r="Y68" i="1"/>
  <c r="Z68" i="1" s="1"/>
  <c r="AA68" i="1" s="1"/>
  <c r="AE68" i="1" s="1" a="1"/>
  <c r="AE68" i="1" s="1"/>
  <c r="Y69" i="1"/>
  <c r="Z69" i="1" s="1"/>
  <c r="AA69" i="1" s="1"/>
  <c r="AE69" i="1" s="1" a="1"/>
  <c r="AE69" i="1" s="1"/>
  <c r="Y70" i="1"/>
  <c r="Z70" i="1" s="1"/>
  <c r="AA70" i="1" s="1"/>
  <c r="AE70" i="1" s="1" a="1"/>
  <c r="AE70" i="1" s="1"/>
  <c r="Y71" i="1"/>
  <c r="Z71" i="1" s="1"/>
  <c r="AA71" i="1" s="1"/>
  <c r="AE71" i="1" s="1" a="1"/>
  <c r="AE71" i="1" s="1"/>
  <c r="Y72" i="1"/>
  <c r="Z72" i="1" s="1"/>
  <c r="AA72" i="1" s="1"/>
  <c r="AE72" i="1" s="1" a="1"/>
  <c r="AE72" i="1" s="1"/>
  <c r="Y73" i="1"/>
  <c r="Z73" i="1" s="1"/>
  <c r="AA73" i="1" s="1"/>
  <c r="AE73" i="1" s="1" a="1"/>
  <c r="AE73" i="1" s="1"/>
  <c r="Y74" i="1"/>
  <c r="Z74" i="1" s="1"/>
  <c r="AA74" i="1" s="1"/>
  <c r="AE74" i="1" s="1" a="1"/>
  <c r="AE74" i="1" s="1"/>
  <c r="Y75" i="1"/>
  <c r="Z75" i="1" s="1"/>
  <c r="AA75" i="1" s="1"/>
  <c r="AE75" i="1" s="1" a="1"/>
  <c r="AE75" i="1" s="1"/>
  <c r="Y76" i="1"/>
  <c r="Z76" i="1" s="1"/>
  <c r="AA76" i="1" s="1"/>
  <c r="AE76" i="1" s="1" a="1"/>
  <c r="AE76" i="1" s="1"/>
  <c r="Y77" i="1"/>
  <c r="Z77" i="1" s="1"/>
  <c r="AA77" i="1" s="1"/>
  <c r="AE77" i="1" s="1" a="1"/>
  <c r="AE77" i="1" s="1"/>
  <c r="Y78" i="1"/>
  <c r="Z78" i="1" s="1"/>
  <c r="AA78" i="1" s="1"/>
  <c r="AE78" i="1" s="1" a="1"/>
  <c r="AE78" i="1" s="1"/>
  <c r="Y79" i="1"/>
  <c r="Z79" i="1" s="1"/>
  <c r="AA79" i="1" s="1"/>
  <c r="AE79" i="1" s="1" a="1"/>
  <c r="AE79" i="1" s="1"/>
  <c r="Y80" i="1"/>
  <c r="Z80" i="1" s="1"/>
  <c r="AA80" i="1" s="1"/>
  <c r="AE80" i="1" s="1" a="1"/>
  <c r="AE80" i="1" s="1"/>
  <c r="Y81" i="1"/>
  <c r="Z81" i="1" s="1"/>
  <c r="AA81" i="1" s="1"/>
  <c r="AE81" i="1" s="1" a="1"/>
  <c r="AE81" i="1" s="1"/>
  <c r="Y82" i="1"/>
  <c r="Z82" i="1" s="1"/>
  <c r="AA82" i="1" s="1"/>
  <c r="AE82" i="1" s="1" a="1"/>
  <c r="AE82" i="1" s="1"/>
  <c r="Y83" i="1"/>
  <c r="Z83" i="1" s="1"/>
  <c r="AA83" i="1" s="1"/>
  <c r="AE83" i="1" s="1" a="1"/>
  <c r="AE83" i="1" s="1"/>
  <c r="Y84" i="1"/>
  <c r="Z84" i="1" s="1"/>
  <c r="AA84" i="1" s="1"/>
  <c r="AE84" i="1" s="1" a="1"/>
  <c r="AE84" i="1" s="1"/>
  <c r="Y85" i="1"/>
  <c r="Z85" i="1" s="1"/>
  <c r="AA85" i="1" s="1"/>
  <c r="AE85" i="1" s="1" a="1"/>
  <c r="AE85" i="1" s="1"/>
  <c r="Y86" i="1"/>
  <c r="Z86" i="1" s="1"/>
  <c r="AA86" i="1" s="1"/>
  <c r="AE86" i="1" s="1" a="1"/>
  <c r="AE86" i="1" s="1"/>
  <c r="Y87" i="1"/>
  <c r="Z87" i="1" s="1"/>
  <c r="AA87" i="1" s="1"/>
  <c r="AE87" i="1" s="1" a="1"/>
  <c r="AE87" i="1" s="1"/>
  <c r="Y88" i="1"/>
  <c r="Z88" i="1" s="1"/>
  <c r="AA88" i="1" s="1"/>
  <c r="AE88" i="1" s="1" a="1"/>
  <c r="AE88" i="1" s="1"/>
  <c r="Y89" i="1"/>
  <c r="Z89" i="1" s="1"/>
  <c r="AA89" i="1" s="1"/>
  <c r="AE89" i="1" s="1" a="1"/>
  <c r="AE89" i="1" s="1"/>
  <c r="Y90" i="1"/>
  <c r="Z90" i="1" s="1"/>
  <c r="AA90" i="1" s="1"/>
  <c r="AE90" i="1" s="1" a="1"/>
  <c r="AE90" i="1" s="1"/>
  <c r="Y91" i="1"/>
  <c r="Z91" i="1" s="1"/>
  <c r="AA91" i="1" s="1"/>
  <c r="AE91" i="1" s="1" a="1"/>
  <c r="AE91" i="1" s="1"/>
  <c r="Y92" i="1"/>
  <c r="Z92" i="1" s="1"/>
  <c r="AA92" i="1" s="1"/>
  <c r="AE92" i="1" s="1" a="1"/>
  <c r="AE92" i="1" s="1"/>
  <c r="Y93" i="1"/>
  <c r="Z93" i="1" s="1"/>
  <c r="AA93" i="1" s="1"/>
  <c r="AE93" i="1" s="1" a="1"/>
  <c r="AE93" i="1" s="1"/>
  <c r="Y94" i="1"/>
  <c r="Z94" i="1" s="1"/>
  <c r="AA94" i="1" s="1"/>
  <c r="AE94" i="1" s="1" a="1"/>
  <c r="AE94" i="1" s="1"/>
  <c r="Y95" i="1"/>
  <c r="Z95" i="1" s="1"/>
  <c r="AA95" i="1" s="1"/>
  <c r="AE95" i="1" s="1" a="1"/>
  <c r="AE95" i="1" s="1"/>
  <c r="Y96" i="1"/>
  <c r="Z96" i="1" s="1"/>
  <c r="AA96" i="1" s="1"/>
  <c r="AE96" i="1" s="1" a="1"/>
  <c r="AE96" i="1" s="1"/>
  <c r="Y97" i="1"/>
  <c r="Z97" i="1" s="1"/>
  <c r="AA97" i="1" s="1"/>
  <c r="AE97" i="1" s="1" a="1"/>
  <c r="AE97" i="1" s="1"/>
  <c r="Y98" i="1"/>
  <c r="Z98" i="1" s="1"/>
  <c r="AA98" i="1" s="1"/>
  <c r="AE98" i="1" s="1" a="1"/>
  <c r="AE98" i="1" s="1"/>
  <c r="Y99" i="1"/>
  <c r="Z99" i="1" s="1"/>
  <c r="AA99" i="1" s="1"/>
  <c r="AE99" i="1" s="1" a="1"/>
  <c r="AE99" i="1" s="1"/>
  <c r="Y100" i="1"/>
  <c r="Z100" i="1" s="1"/>
  <c r="AA100" i="1" s="1"/>
  <c r="AE100" i="1" s="1" a="1"/>
  <c r="AE100" i="1" s="1"/>
  <c r="Y101" i="1"/>
  <c r="Z101" i="1" s="1"/>
  <c r="AA101" i="1" s="1"/>
  <c r="AE101" i="1" s="1" a="1"/>
  <c r="AE101" i="1" s="1"/>
  <c r="Y2" i="1"/>
  <c r="Z2" i="1" s="1"/>
  <c r="AA2" i="1" s="1"/>
  <c r="AE2" i="1" s="1" a="1"/>
  <c r="AE2" i="1" s="1"/>
  <c r="X2" i="1" a="1"/>
  <c r="X2" i="1" s="1"/>
  <c r="W2" i="1" a="1"/>
  <c r="W2" i="1" s="1"/>
  <c r="C5" i="3" s="1"/>
  <c r="V2" i="1" a="1"/>
  <c r="U2" i="1" a="1"/>
  <c r="U2" i="1" s="1"/>
  <c r="V2" i="1" l="1"/>
  <c r="C4" i="3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106" i="1"/>
  <c r="D218" i="1" s="1"/>
  <c r="C2" i="3" s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106" i="1"/>
  <c r="B107" i="1"/>
  <c r="E107" i="1" s="1"/>
  <c r="H107" i="1" s="1"/>
  <c r="B108" i="1"/>
  <c r="D108" i="1" s="1"/>
  <c r="B109" i="1"/>
  <c r="D109" i="1" s="1"/>
  <c r="B110" i="1"/>
  <c r="E110" i="1" s="1"/>
  <c r="H110" i="1" s="1"/>
  <c r="B111" i="1"/>
  <c r="E111" i="1" s="1"/>
  <c r="H111" i="1" s="1"/>
  <c r="B112" i="1"/>
  <c r="E112" i="1" s="1"/>
  <c r="H112" i="1" s="1"/>
  <c r="B113" i="1"/>
  <c r="D113" i="1" s="1"/>
  <c r="B114" i="1"/>
  <c r="B115" i="1"/>
  <c r="E115" i="1" s="1"/>
  <c r="H115" i="1" s="1"/>
  <c r="B116" i="1"/>
  <c r="E116" i="1" s="1"/>
  <c r="H116" i="1" s="1"/>
  <c r="B117" i="1"/>
  <c r="E117" i="1" s="1"/>
  <c r="H117" i="1" s="1"/>
  <c r="B118" i="1"/>
  <c r="B119" i="1"/>
  <c r="E119" i="1" s="1"/>
  <c r="H119" i="1" s="1"/>
  <c r="B120" i="1"/>
  <c r="E120" i="1" s="1"/>
  <c r="H120" i="1" s="1"/>
  <c r="B121" i="1"/>
  <c r="E121" i="1" s="1"/>
  <c r="H121" i="1" s="1"/>
  <c r="B122" i="1"/>
  <c r="B123" i="1"/>
  <c r="E123" i="1" s="1"/>
  <c r="H123" i="1" s="1"/>
  <c r="B124" i="1"/>
  <c r="E124" i="1" s="1"/>
  <c r="H124" i="1" s="1"/>
  <c r="B125" i="1"/>
  <c r="E125" i="1" s="1"/>
  <c r="H125" i="1" s="1"/>
  <c r="B126" i="1"/>
  <c r="B127" i="1"/>
  <c r="E127" i="1" s="1"/>
  <c r="H127" i="1" s="1"/>
  <c r="B128" i="1"/>
  <c r="E128" i="1" s="1"/>
  <c r="H128" i="1" s="1"/>
  <c r="B129" i="1"/>
  <c r="E129" i="1" s="1"/>
  <c r="H129" i="1" s="1"/>
  <c r="B130" i="1"/>
  <c r="B131" i="1"/>
  <c r="E131" i="1" s="1"/>
  <c r="H131" i="1" s="1"/>
  <c r="B132" i="1"/>
  <c r="E132" i="1" s="1"/>
  <c r="H132" i="1" s="1"/>
  <c r="B133" i="1"/>
  <c r="E133" i="1" s="1"/>
  <c r="H133" i="1" s="1"/>
  <c r="B134" i="1"/>
  <c r="B135" i="1"/>
  <c r="E135" i="1" s="1"/>
  <c r="H135" i="1" s="1"/>
  <c r="B136" i="1"/>
  <c r="E136" i="1" s="1"/>
  <c r="H136" i="1" s="1"/>
  <c r="B137" i="1"/>
  <c r="E137" i="1" s="1"/>
  <c r="H137" i="1" s="1"/>
  <c r="B138" i="1"/>
  <c r="B139" i="1"/>
  <c r="E139" i="1" s="1"/>
  <c r="H139" i="1" s="1"/>
  <c r="B140" i="1"/>
  <c r="E140" i="1" s="1"/>
  <c r="H140" i="1" s="1"/>
  <c r="B141" i="1"/>
  <c r="E141" i="1" s="1"/>
  <c r="H141" i="1" s="1"/>
  <c r="B142" i="1"/>
  <c r="B143" i="1"/>
  <c r="E143" i="1" s="1"/>
  <c r="H143" i="1" s="1"/>
  <c r="B144" i="1"/>
  <c r="E144" i="1" s="1"/>
  <c r="H144" i="1" s="1"/>
  <c r="B145" i="1"/>
  <c r="E145" i="1" s="1"/>
  <c r="H145" i="1" s="1"/>
  <c r="B146" i="1"/>
  <c r="B147" i="1"/>
  <c r="E147" i="1" s="1"/>
  <c r="H147" i="1" s="1"/>
  <c r="B148" i="1"/>
  <c r="E148" i="1" s="1"/>
  <c r="H148" i="1" s="1"/>
  <c r="B149" i="1"/>
  <c r="E149" i="1" s="1"/>
  <c r="H149" i="1" s="1"/>
  <c r="B150" i="1"/>
  <c r="B151" i="1"/>
  <c r="E151" i="1" s="1"/>
  <c r="H151" i="1" s="1"/>
  <c r="B152" i="1"/>
  <c r="E152" i="1" s="1"/>
  <c r="H152" i="1" s="1"/>
  <c r="B153" i="1"/>
  <c r="E153" i="1" s="1"/>
  <c r="H153" i="1" s="1"/>
  <c r="B154" i="1"/>
  <c r="B155" i="1"/>
  <c r="E155" i="1" s="1"/>
  <c r="H155" i="1" s="1"/>
  <c r="B156" i="1"/>
  <c r="E156" i="1" s="1"/>
  <c r="H156" i="1" s="1"/>
  <c r="B157" i="1"/>
  <c r="E157" i="1" s="1"/>
  <c r="H157" i="1" s="1"/>
  <c r="B158" i="1"/>
  <c r="B159" i="1"/>
  <c r="E159" i="1" s="1"/>
  <c r="H159" i="1" s="1"/>
  <c r="B160" i="1"/>
  <c r="E160" i="1" s="1"/>
  <c r="H160" i="1" s="1"/>
  <c r="B161" i="1"/>
  <c r="E161" i="1" s="1"/>
  <c r="H161" i="1" s="1"/>
  <c r="B162" i="1"/>
  <c r="B163" i="1"/>
  <c r="E163" i="1" s="1"/>
  <c r="H163" i="1" s="1"/>
  <c r="B164" i="1"/>
  <c r="E164" i="1" s="1"/>
  <c r="H164" i="1" s="1"/>
  <c r="B165" i="1"/>
  <c r="E165" i="1" s="1"/>
  <c r="H165" i="1" s="1"/>
  <c r="B166" i="1"/>
  <c r="B167" i="1"/>
  <c r="E167" i="1" s="1"/>
  <c r="H167" i="1" s="1"/>
  <c r="B168" i="1"/>
  <c r="E168" i="1" s="1"/>
  <c r="H168" i="1" s="1"/>
  <c r="B169" i="1"/>
  <c r="E169" i="1" s="1"/>
  <c r="H169" i="1" s="1"/>
  <c r="B170" i="1"/>
  <c r="B171" i="1"/>
  <c r="E171" i="1" s="1"/>
  <c r="H171" i="1" s="1"/>
  <c r="B172" i="1"/>
  <c r="E172" i="1" s="1"/>
  <c r="H172" i="1" s="1"/>
  <c r="B173" i="1"/>
  <c r="E173" i="1" s="1"/>
  <c r="H173" i="1" s="1"/>
  <c r="B174" i="1"/>
  <c r="B175" i="1"/>
  <c r="E175" i="1" s="1"/>
  <c r="H175" i="1" s="1"/>
  <c r="B176" i="1"/>
  <c r="E176" i="1" s="1"/>
  <c r="H176" i="1" s="1"/>
  <c r="B177" i="1"/>
  <c r="E177" i="1" s="1"/>
  <c r="H177" i="1" s="1"/>
  <c r="B178" i="1"/>
  <c r="B179" i="1"/>
  <c r="E179" i="1" s="1"/>
  <c r="H179" i="1" s="1"/>
  <c r="B180" i="1"/>
  <c r="E180" i="1" s="1"/>
  <c r="H180" i="1" s="1"/>
  <c r="B181" i="1"/>
  <c r="E181" i="1" s="1"/>
  <c r="H181" i="1" s="1"/>
  <c r="B182" i="1"/>
  <c r="B183" i="1"/>
  <c r="E183" i="1" s="1"/>
  <c r="H183" i="1" s="1"/>
  <c r="B184" i="1"/>
  <c r="E184" i="1" s="1"/>
  <c r="H184" i="1" s="1"/>
  <c r="B185" i="1"/>
  <c r="E185" i="1" s="1"/>
  <c r="H185" i="1" s="1"/>
  <c r="B186" i="1"/>
  <c r="B187" i="1"/>
  <c r="E187" i="1" s="1"/>
  <c r="H187" i="1" s="1"/>
  <c r="B188" i="1"/>
  <c r="E188" i="1" s="1"/>
  <c r="H188" i="1" s="1"/>
  <c r="B189" i="1"/>
  <c r="E189" i="1" s="1"/>
  <c r="H189" i="1" s="1"/>
  <c r="B190" i="1"/>
  <c r="B191" i="1"/>
  <c r="E191" i="1" s="1"/>
  <c r="H191" i="1" s="1"/>
  <c r="B192" i="1"/>
  <c r="E192" i="1" s="1"/>
  <c r="H192" i="1" s="1"/>
  <c r="B193" i="1"/>
  <c r="E193" i="1" s="1"/>
  <c r="H193" i="1" s="1"/>
  <c r="B194" i="1"/>
  <c r="D194" i="1" s="1"/>
  <c r="B195" i="1"/>
  <c r="E195" i="1" s="1"/>
  <c r="H195" i="1" s="1"/>
  <c r="B196" i="1"/>
  <c r="E196" i="1" s="1"/>
  <c r="H196" i="1" s="1"/>
  <c r="B197" i="1"/>
  <c r="E197" i="1" s="1"/>
  <c r="H197" i="1" s="1"/>
  <c r="B198" i="1"/>
  <c r="B199" i="1"/>
  <c r="E199" i="1" s="1"/>
  <c r="H199" i="1" s="1"/>
  <c r="B200" i="1"/>
  <c r="E200" i="1" s="1"/>
  <c r="H200" i="1" s="1"/>
  <c r="B201" i="1"/>
  <c r="E201" i="1" s="1"/>
  <c r="H201" i="1" s="1"/>
  <c r="B202" i="1"/>
  <c r="B203" i="1"/>
  <c r="E203" i="1" s="1"/>
  <c r="H203" i="1" s="1"/>
  <c r="B204" i="1"/>
  <c r="E204" i="1" s="1"/>
  <c r="H204" i="1" s="1"/>
  <c r="B205" i="1"/>
  <c r="E205" i="1" s="1"/>
  <c r="H205" i="1" s="1"/>
  <c r="B106" i="1"/>
  <c r="E106" i="1" s="1"/>
  <c r="D151" i="1" l="1"/>
  <c r="D172" i="1"/>
  <c r="D188" i="1"/>
  <c r="D167" i="1"/>
  <c r="D148" i="1"/>
  <c r="D124" i="1"/>
  <c r="D196" i="1"/>
  <c r="D132" i="1"/>
  <c r="D204" i="1"/>
  <c r="D183" i="1"/>
  <c r="D164" i="1"/>
  <c r="D140" i="1"/>
  <c r="D119" i="1"/>
  <c r="D199" i="1"/>
  <c r="D180" i="1"/>
  <c r="D156" i="1"/>
  <c r="D135" i="1"/>
  <c r="D116" i="1"/>
  <c r="D193" i="1"/>
  <c r="D177" i="1"/>
  <c r="D161" i="1"/>
  <c r="D145" i="1"/>
  <c r="D129" i="1"/>
  <c r="D203" i="1"/>
  <c r="D197" i="1"/>
  <c r="D192" i="1"/>
  <c r="D187" i="1"/>
  <c r="D181" i="1"/>
  <c r="D176" i="1"/>
  <c r="D171" i="1"/>
  <c r="D165" i="1"/>
  <c r="D160" i="1"/>
  <c r="D155" i="1"/>
  <c r="D149" i="1"/>
  <c r="D144" i="1"/>
  <c r="D139" i="1"/>
  <c r="D133" i="1"/>
  <c r="D128" i="1"/>
  <c r="D123" i="1"/>
  <c r="D117" i="1"/>
  <c r="B209" i="1"/>
  <c r="D201" i="1"/>
  <c r="D191" i="1"/>
  <c r="D185" i="1"/>
  <c r="D175" i="1"/>
  <c r="D169" i="1"/>
  <c r="D159" i="1"/>
  <c r="D153" i="1"/>
  <c r="D143" i="1"/>
  <c r="D137" i="1"/>
  <c r="D127" i="1"/>
  <c r="D121" i="1"/>
  <c r="D205" i="1"/>
  <c r="D200" i="1"/>
  <c r="D195" i="1"/>
  <c r="D189" i="1"/>
  <c r="D184" i="1"/>
  <c r="D179" i="1"/>
  <c r="D173" i="1"/>
  <c r="D168" i="1"/>
  <c r="D163" i="1"/>
  <c r="D157" i="1"/>
  <c r="D152" i="1"/>
  <c r="D147" i="1"/>
  <c r="D141" i="1"/>
  <c r="D136" i="1"/>
  <c r="D131" i="1"/>
  <c r="D125" i="1"/>
  <c r="D120" i="1"/>
  <c r="D115" i="1"/>
  <c r="D182" i="1"/>
  <c r="E182" i="1"/>
  <c r="H182" i="1" s="1"/>
  <c r="D170" i="1"/>
  <c r="E170" i="1"/>
  <c r="H170" i="1" s="1"/>
  <c r="D154" i="1"/>
  <c r="E154" i="1"/>
  <c r="H154" i="1" s="1"/>
  <c r="D142" i="1"/>
  <c r="E142" i="1"/>
  <c r="H142" i="1" s="1"/>
  <c r="D130" i="1"/>
  <c r="E130" i="1"/>
  <c r="H130" i="1" s="1"/>
  <c r="D122" i="1"/>
  <c r="E122" i="1"/>
  <c r="H122" i="1" s="1"/>
  <c r="D114" i="1"/>
  <c r="E114" i="1"/>
  <c r="H114" i="1" s="1"/>
  <c r="D110" i="1"/>
  <c r="M217" i="1"/>
  <c r="J218" i="1"/>
  <c r="J217" i="1"/>
  <c r="G218" i="1"/>
  <c r="M218" i="1"/>
  <c r="G217" i="1"/>
  <c r="C1" i="3" s="1"/>
  <c r="H106" i="1"/>
  <c r="D202" i="1"/>
  <c r="E202" i="1"/>
  <c r="H202" i="1" s="1"/>
  <c r="D190" i="1"/>
  <c r="E190" i="1"/>
  <c r="H190" i="1" s="1"/>
  <c r="D178" i="1"/>
  <c r="E178" i="1"/>
  <c r="H178" i="1" s="1"/>
  <c r="D166" i="1"/>
  <c r="E166" i="1"/>
  <c r="H166" i="1" s="1"/>
  <c r="D158" i="1"/>
  <c r="E158" i="1"/>
  <c r="H158" i="1" s="1"/>
  <c r="D146" i="1"/>
  <c r="E146" i="1"/>
  <c r="H146" i="1" s="1"/>
  <c r="D134" i="1"/>
  <c r="E134" i="1"/>
  <c r="H134" i="1" s="1"/>
  <c r="D198" i="1"/>
  <c r="E198" i="1"/>
  <c r="H198" i="1" s="1"/>
  <c r="D186" i="1"/>
  <c r="E186" i="1"/>
  <c r="H186" i="1" s="1"/>
  <c r="D174" i="1"/>
  <c r="E174" i="1"/>
  <c r="H174" i="1" s="1"/>
  <c r="D162" i="1"/>
  <c r="E162" i="1"/>
  <c r="H162" i="1" s="1"/>
  <c r="D150" i="1"/>
  <c r="E150" i="1"/>
  <c r="H150" i="1" s="1"/>
  <c r="D138" i="1"/>
  <c r="E138" i="1"/>
  <c r="H138" i="1" s="1"/>
  <c r="D126" i="1"/>
  <c r="E126" i="1"/>
  <c r="H126" i="1" s="1"/>
  <c r="D118" i="1"/>
  <c r="E118" i="1"/>
  <c r="H118" i="1" s="1"/>
  <c r="D106" i="1"/>
  <c r="E194" i="1"/>
  <c r="H194" i="1" s="1"/>
  <c r="E113" i="1"/>
  <c r="H113" i="1" s="1"/>
  <c r="E109" i="1"/>
  <c r="H109" i="1" s="1"/>
  <c r="D112" i="1"/>
  <c r="E108" i="1"/>
  <c r="H108" i="1" s="1"/>
  <c r="D111" i="1"/>
  <c r="D107" i="1"/>
  <c r="C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<sst xmlns="http://schemas.openxmlformats.org/spreadsheetml/2006/main" count="1527" uniqueCount="372">
  <si>
    <t>Employee_ID</t>
  </si>
  <si>
    <t>First_Name</t>
  </si>
  <si>
    <t>Last_Name</t>
  </si>
  <si>
    <t>Email</t>
  </si>
  <si>
    <t>Department</t>
  </si>
  <si>
    <t>Job_Title</t>
  </si>
  <si>
    <t>City</t>
  </si>
  <si>
    <t>Join_Date</t>
  </si>
  <si>
    <t>Date_of_Birth</t>
  </si>
  <si>
    <t>Employment_Type</t>
  </si>
  <si>
    <t>Status</t>
  </si>
  <si>
    <t>Salary_Band</t>
  </si>
  <si>
    <t>Annual_Salary</t>
  </si>
  <si>
    <t>Bonus</t>
  </si>
  <si>
    <t>Sales_Target</t>
  </si>
  <si>
    <t>Sales_Achieved</t>
  </si>
  <si>
    <t>Satisfaction_Score</t>
  </si>
  <si>
    <t>Absent_Days</t>
  </si>
  <si>
    <t>Performance_Rating</t>
  </si>
  <si>
    <t>Recruitment_Source</t>
  </si>
  <si>
    <t>EMP001</t>
  </si>
  <si>
    <t>Aisha</t>
  </si>
  <si>
    <t>Okafor</t>
  </si>
  <si>
    <t>aisha.okafor@northstar-group.com</t>
  </si>
  <si>
    <t>Sales</t>
  </si>
  <si>
    <t>Sales Analyst</t>
  </si>
  <si>
    <t>Lagos</t>
  </si>
  <si>
    <t>Full-time</t>
  </si>
  <si>
    <t>Active</t>
  </si>
  <si>
    <t>Junior</t>
  </si>
  <si>
    <t>Needs Improvement</t>
  </si>
  <si>
    <t>LinkedIn</t>
  </si>
  <si>
    <t>EMP002</t>
  </si>
  <si>
    <t>Daniel</t>
  </si>
  <si>
    <t>Mensah</t>
  </si>
  <si>
    <t>daniel.mensah@northstar-group.com</t>
  </si>
  <si>
    <t>Finance</t>
  </si>
  <si>
    <t>Financial Analyst</t>
  </si>
  <si>
    <t>Abuja</t>
  </si>
  <si>
    <t>On Leave</t>
  </si>
  <si>
    <t>Mid-Level</t>
  </si>
  <si>
    <t>Indeed</t>
  </si>
  <si>
    <t>EMP003</t>
  </si>
  <si>
    <t>Grace</t>
  </si>
  <si>
    <t>Adeyemi</t>
  </si>
  <si>
    <t>grace.adeyemi@northstar-group.com</t>
  </si>
  <si>
    <t>Operations</t>
  </si>
  <si>
    <t>Operations Analyst</t>
  </si>
  <si>
    <t>Port Harcourt</t>
  </si>
  <si>
    <t>Contract</t>
  </si>
  <si>
    <t>Senior</t>
  </si>
  <si>
    <t>Good</t>
  </si>
  <si>
    <t>EMP004</t>
  </si>
  <si>
    <t>Michael</t>
  </si>
  <si>
    <t>Bello</t>
  </si>
  <si>
    <t>michael.bello@northstar-group.com</t>
  </si>
  <si>
    <t>IT</t>
  </si>
  <si>
    <t>Systems Analyst</t>
  </si>
  <si>
    <t>Ibadan</t>
  </si>
  <si>
    <t>Average</t>
  </si>
  <si>
    <t>EMP005</t>
  </si>
  <si>
    <t>Chiamaka</t>
  </si>
  <si>
    <t>Eze</t>
  </si>
  <si>
    <t>chiamaka.eze@northstar-group.com</t>
  </si>
  <si>
    <t>HR</t>
  </si>
  <si>
    <t>HR Associate</t>
  </si>
  <si>
    <t>Kano</t>
  </si>
  <si>
    <t>Resigned</t>
  </si>
  <si>
    <t>Referral</t>
  </si>
  <si>
    <t>EMP006</t>
  </si>
  <si>
    <t>David</t>
  </si>
  <si>
    <t>Okoro</t>
  </si>
  <si>
    <t>david.okoro@northstar-group.com</t>
  </si>
  <si>
    <t>Marketing</t>
  </si>
  <si>
    <t>Marketing Coordinator</t>
  </si>
  <si>
    <t>Owerri</t>
  </si>
  <si>
    <t>EMP007</t>
  </si>
  <si>
    <t>Sarah</t>
  </si>
  <si>
    <t>Ibrahim</t>
  </si>
  <si>
    <t>sarah.ibrahim@northstar-group.com</t>
  </si>
  <si>
    <t>Customer Success</t>
  </si>
  <si>
    <t>Customer Success Analyst</t>
  </si>
  <si>
    <t>Enugu</t>
  </si>
  <si>
    <t>Company Website</t>
  </si>
  <si>
    <t>EMP008</t>
  </si>
  <si>
    <t>James</t>
  </si>
  <si>
    <t>Adebayo</t>
  </si>
  <si>
    <t>james.adebayo@northstar-group.com</t>
  </si>
  <si>
    <t>Account Executive</t>
  </si>
  <si>
    <t>EMP009</t>
  </si>
  <si>
    <t>Blessing</t>
  </si>
  <si>
    <t>Nwosu</t>
  </si>
  <si>
    <t>blessing.nwosu@northstar-group.com</t>
  </si>
  <si>
    <t>Recruitment Agency</t>
  </si>
  <si>
    <t>EMP010</t>
  </si>
  <si>
    <t>Victor</t>
  </si>
  <si>
    <t>Umeh</t>
  </si>
  <si>
    <t>victor.umeh@northstar-group.com</t>
  </si>
  <si>
    <t>EMP011</t>
  </si>
  <si>
    <t>John</t>
  </si>
  <si>
    <t>Smith</t>
  </si>
  <si>
    <t>john.smith@northstar-group.com</t>
  </si>
  <si>
    <t>IT Support Specialist</t>
  </si>
  <si>
    <t>Excellent</t>
  </si>
  <si>
    <t>EMP012</t>
  </si>
  <si>
    <t>Mary</t>
  </si>
  <si>
    <t>Williams</t>
  </si>
  <si>
    <t>mary.williams@northstar-group.com</t>
  </si>
  <si>
    <t>Recruitment Specialist</t>
  </si>
  <si>
    <t>EMP013</t>
  </si>
  <si>
    <t>Peter</t>
  </si>
  <si>
    <t>Johnson</t>
  </si>
  <si>
    <t>peter.johnson@northstar-group.com</t>
  </si>
  <si>
    <t>EMP014</t>
  </si>
  <si>
    <t>Esther</t>
  </si>
  <si>
    <t>Brown</t>
  </si>
  <si>
    <t>esther.brown@northstar-group.com</t>
  </si>
  <si>
    <t>Customer Success Associate</t>
  </si>
  <si>
    <t>EMP015</t>
  </si>
  <si>
    <t>Ifeoma</t>
  </si>
  <si>
    <t>ifeoma.okafor@northstar-group.com</t>
  </si>
  <si>
    <t>EMP016</t>
  </si>
  <si>
    <t>Samuel</t>
  </si>
  <si>
    <t>samuel.mensah@northstar-group.com</t>
  </si>
  <si>
    <t>EMP017</t>
  </si>
  <si>
    <t>Ruth</t>
  </si>
  <si>
    <t>ruth.adeyemi@northstar-group.com</t>
  </si>
  <si>
    <t>Supply Planner</t>
  </si>
  <si>
    <t>EMP018</t>
  </si>
  <si>
    <t>Emeka</t>
  </si>
  <si>
    <t>emeka.bello@northstar-group.com</t>
  </si>
  <si>
    <t>Data Analyst</t>
  </si>
  <si>
    <t>EMP019</t>
  </si>
  <si>
    <t>Linda</t>
  </si>
  <si>
    <t>linda.eze@northstar-group.com</t>
  </si>
  <si>
    <t>EMP020</t>
  </si>
  <si>
    <t>Brian</t>
  </si>
  <si>
    <t>brian.okoro@northstar-group.com</t>
  </si>
  <si>
    <t>Digital Marketing Specialist</t>
  </si>
  <si>
    <t>EMP021</t>
  </si>
  <si>
    <t>Tolu</t>
  </si>
  <si>
    <t>tolu.ibrahim@northstar-group.com</t>
  </si>
  <si>
    <t>EMP022</t>
  </si>
  <si>
    <t>Ngozi</t>
  </si>
  <si>
    <t>ngozi.adebayo@northstar-group.com</t>
  </si>
  <si>
    <t>EMP023</t>
  </si>
  <si>
    <t>Henry</t>
  </si>
  <si>
    <t>henry.nwosu@northstar-group.com</t>
  </si>
  <si>
    <t>Accountant</t>
  </si>
  <si>
    <t>EMP024</t>
  </si>
  <si>
    <t>Janet</t>
  </si>
  <si>
    <t>janet.umeh@northstar-group.com</t>
  </si>
  <si>
    <t>EMP025</t>
  </si>
  <si>
    <t>Paul</t>
  </si>
  <si>
    <t>paul.smith@northstar-group.com</t>
  </si>
  <si>
    <t>EMP026</t>
  </si>
  <si>
    <t>Mercy</t>
  </si>
  <si>
    <t>mercy.williams@northstar-group.com</t>
  </si>
  <si>
    <t>EMP027</t>
  </si>
  <si>
    <t>Kevin</t>
  </si>
  <si>
    <t>kevin.johnson@northstar-group.com</t>
  </si>
  <si>
    <t>Marketing Analyst</t>
  </si>
  <si>
    <t>EMP028</t>
  </si>
  <si>
    <t>Ada</t>
  </si>
  <si>
    <t>ada.brown@northstar-group.com</t>
  </si>
  <si>
    <t>Support Specialist</t>
  </si>
  <si>
    <t>EMP029</t>
  </si>
  <si>
    <t>Joseph</t>
  </si>
  <si>
    <t>joseph.okafor@northstar-group.com</t>
  </si>
  <si>
    <t>Sales Associate</t>
  </si>
  <si>
    <t>EMP030</t>
  </si>
  <si>
    <t>Rose</t>
  </si>
  <si>
    <t>rose.mensah@northstar-group.com</t>
  </si>
  <si>
    <t>EMP031</t>
  </si>
  <si>
    <t>aisha.adeyemi@northstar-group.com</t>
  </si>
  <si>
    <t>Operations Associate</t>
  </si>
  <si>
    <t>EMP032</t>
  </si>
  <si>
    <t>daniel.bello@northstar-group.com</t>
  </si>
  <si>
    <t>EMP033</t>
  </si>
  <si>
    <t>grace.eze@northstar-group.com</t>
  </si>
  <si>
    <t>HR Analyst</t>
  </si>
  <si>
    <t>EMP034</t>
  </si>
  <si>
    <t>michael.okoro@northstar-group.com</t>
  </si>
  <si>
    <t>EMP035</t>
  </si>
  <si>
    <t>chiamaka.ibrahim@northstar-group.com</t>
  </si>
  <si>
    <t>EMP036</t>
  </si>
  <si>
    <t>david.adebayo@northstar-group.com</t>
  </si>
  <si>
    <t>EMP037</t>
  </si>
  <si>
    <t>sarah.nwosu@northstar-group.com</t>
  </si>
  <si>
    <t>EMP038</t>
  </si>
  <si>
    <t>james.umeh@northstar-group.com</t>
  </si>
  <si>
    <t>EMP039</t>
  </si>
  <si>
    <t>blessing.smith@northstar-group.com</t>
  </si>
  <si>
    <t>EMP040</t>
  </si>
  <si>
    <t>victor.williams@northstar-group.com</t>
  </si>
  <si>
    <t>EMP041</t>
  </si>
  <si>
    <t>john.johnson@northstar-group.com</t>
  </si>
  <si>
    <t>EMP042</t>
  </si>
  <si>
    <t>mary.brown@northstar-group.com</t>
  </si>
  <si>
    <t>EMP043</t>
  </si>
  <si>
    <t>peter.okafor@northstar-group.com</t>
  </si>
  <si>
    <t>EMP044</t>
  </si>
  <si>
    <t>esther.mensah@northstar-group.com</t>
  </si>
  <si>
    <t>EMP045</t>
  </si>
  <si>
    <t>ifeoma.adeyemi@northstar-group.com</t>
  </si>
  <si>
    <t>EMP046</t>
  </si>
  <si>
    <t>samuel.bello@northstar-group.com</t>
  </si>
  <si>
    <t>EMP047</t>
  </si>
  <si>
    <t>ruth.eze@northstar-group.com</t>
  </si>
  <si>
    <t>EMP048</t>
  </si>
  <si>
    <t>emeka.okoro@northstar-group.com</t>
  </si>
  <si>
    <t>EMP049</t>
  </si>
  <si>
    <t>linda.ibrahim@northstar-group.com</t>
  </si>
  <si>
    <t>EMP050</t>
  </si>
  <si>
    <t>brian.adebayo@northstar-group.com</t>
  </si>
  <si>
    <t>EMP051</t>
  </si>
  <si>
    <t>tolu.nwosu@northstar-group.com</t>
  </si>
  <si>
    <t>EMP052</t>
  </si>
  <si>
    <t>ngozi.umeh@northstar-group.com</t>
  </si>
  <si>
    <t>EMP053</t>
  </si>
  <si>
    <t>henry.smith@northstar-group.com</t>
  </si>
  <si>
    <t>EMP054</t>
  </si>
  <si>
    <t>janet.williams@northstar-group.com</t>
  </si>
  <si>
    <t>EMP055</t>
  </si>
  <si>
    <t>paul.johnson@northstar-group.com</t>
  </si>
  <si>
    <t>EMP056</t>
  </si>
  <si>
    <t>mercy.brown@northstar-group.com</t>
  </si>
  <si>
    <t>EMP057</t>
  </si>
  <si>
    <t>kevin.okafor@northstar-group.com</t>
  </si>
  <si>
    <t>EMP058</t>
  </si>
  <si>
    <t>ada.mensah@northstar-group.com</t>
  </si>
  <si>
    <t>EMP059</t>
  </si>
  <si>
    <t>joseph.adeyemi@northstar-group.com</t>
  </si>
  <si>
    <t>EMP060</t>
  </si>
  <si>
    <t>rose.bello@northstar-group.com</t>
  </si>
  <si>
    <t>EMP061</t>
  </si>
  <si>
    <t>aisha.eze@northstar-group.com</t>
  </si>
  <si>
    <t>EMP062</t>
  </si>
  <si>
    <t>daniel.okoro@northstar-group.com</t>
  </si>
  <si>
    <t>EMP063</t>
  </si>
  <si>
    <t>grace.ibrahim@northstar-group.com</t>
  </si>
  <si>
    <t>EMP064</t>
  </si>
  <si>
    <t>michael.adebayo@northstar-group.com</t>
  </si>
  <si>
    <t>EMP065</t>
  </si>
  <si>
    <t>chiamaka.nwosu@northstar-group.com</t>
  </si>
  <si>
    <t>EMP066</t>
  </si>
  <si>
    <t>david.umeh@northstar-group.com</t>
  </si>
  <si>
    <t>EMP067</t>
  </si>
  <si>
    <t>sarah.smith@northstar-group.com</t>
  </si>
  <si>
    <t>EMP068</t>
  </si>
  <si>
    <t>james.williams@northstar-group.com</t>
  </si>
  <si>
    <t>EMP069</t>
  </si>
  <si>
    <t>blessing.johnson@northstar-group.com</t>
  </si>
  <si>
    <t>EMP070</t>
  </si>
  <si>
    <t>victor.brown@northstar-group.com</t>
  </si>
  <si>
    <t>EMP071</t>
  </si>
  <si>
    <t>john.okafor@northstar-group.com</t>
  </si>
  <si>
    <t>EMP072</t>
  </si>
  <si>
    <t>mary.mensah@northstar-group.com</t>
  </si>
  <si>
    <t>Finance Associate</t>
  </si>
  <si>
    <t>EMP073</t>
  </si>
  <si>
    <t>peter.adeyemi@northstar-group.com</t>
  </si>
  <si>
    <t>EMP074</t>
  </si>
  <si>
    <t>esther.bello@northstar-group.com</t>
  </si>
  <si>
    <t>EMP075</t>
  </si>
  <si>
    <t>ifeoma.eze@northstar-group.com</t>
  </si>
  <si>
    <t>EMP076</t>
  </si>
  <si>
    <t>samuel.okoro@northstar-group.com</t>
  </si>
  <si>
    <t>EMP077</t>
  </si>
  <si>
    <t>ruth.ibrahim@northstar-group.com</t>
  </si>
  <si>
    <t>EMP078</t>
  </si>
  <si>
    <t>emeka.adebayo@northstar-group.com</t>
  </si>
  <si>
    <t>EMP079</t>
  </si>
  <si>
    <t>linda.nwosu@northstar-group.com</t>
  </si>
  <si>
    <t>EMP080</t>
  </si>
  <si>
    <t>brian.umeh@northstar-group.com</t>
  </si>
  <si>
    <t>EMP081</t>
  </si>
  <si>
    <t>tolu.smith@northstar-group.com</t>
  </si>
  <si>
    <t>EMP082</t>
  </si>
  <si>
    <t>ngozi.williams@northstar-group.com</t>
  </si>
  <si>
    <t>EMP083</t>
  </si>
  <si>
    <t>henry.johnson@northstar-group.com</t>
  </si>
  <si>
    <t>EMP084</t>
  </si>
  <si>
    <t>janet.brown@northstar-group.com</t>
  </si>
  <si>
    <t>EMP085</t>
  </si>
  <si>
    <t>paul.okafor@northstar-group.com</t>
  </si>
  <si>
    <t>EMP086</t>
  </si>
  <si>
    <t>mercy.mensah@northstar-group.com</t>
  </si>
  <si>
    <t>EMP087</t>
  </si>
  <si>
    <t>kevin.adeyemi@northstar-group.com</t>
  </si>
  <si>
    <t>EMP088</t>
  </si>
  <si>
    <t>ada.bello@northstar-group.com</t>
  </si>
  <si>
    <t>EMP089</t>
  </si>
  <si>
    <t>joseph.eze@northstar-group.com</t>
  </si>
  <si>
    <t>EMP090</t>
  </si>
  <si>
    <t>rose.okoro@northstar-group.com</t>
  </si>
  <si>
    <t>EMP091</t>
  </si>
  <si>
    <t>aisha.ibrahim@northstar-group.com</t>
  </si>
  <si>
    <t>EMP092</t>
  </si>
  <si>
    <t>daniel.adebayo@northstar-group.com</t>
  </si>
  <si>
    <t>EMP093</t>
  </si>
  <si>
    <t>grace.nwosu@northstar-group.com</t>
  </si>
  <si>
    <t>EMP094</t>
  </si>
  <si>
    <t>michael.umeh@northstar-group.com</t>
  </si>
  <si>
    <t>EMP095</t>
  </si>
  <si>
    <t>chiamaka.smith@northstar-group.com</t>
  </si>
  <si>
    <t>EMP096</t>
  </si>
  <si>
    <t>david.williams@northstar-group.com</t>
  </si>
  <si>
    <t>EMP097</t>
  </si>
  <si>
    <t>sarah.johnson@northstar-group.com</t>
  </si>
  <si>
    <t>EMP098</t>
  </si>
  <si>
    <t>james.brown@northstar-group.com</t>
  </si>
  <si>
    <t>EMP099</t>
  </si>
  <si>
    <t>blessing.okafor@northstar-group.com</t>
  </si>
  <si>
    <t>EMP100</t>
  </si>
  <si>
    <t>victor.mensah@northstar-group.com</t>
  </si>
  <si>
    <t>Minimum_Salary</t>
  </si>
  <si>
    <t>Maximum_Salary</t>
  </si>
  <si>
    <t>Band_Bonus_Rate</t>
  </si>
  <si>
    <t>DEP</t>
  </si>
  <si>
    <t>JOINING YEAR</t>
  </si>
  <si>
    <t>NUMBER OF EMPLOYEE</t>
  </si>
  <si>
    <t>Salary_Level</t>
  </si>
  <si>
    <t>Target_Status</t>
  </si>
  <si>
    <t>Attendance_Status</t>
  </si>
  <si>
    <t>Performance_Flag</t>
  </si>
  <si>
    <t>Vlookup</t>
  </si>
  <si>
    <t>Final Pay</t>
  </si>
  <si>
    <t>Ifeffor Estimated Bonus</t>
  </si>
  <si>
    <t>Count Active employees in each department.</t>
  </si>
  <si>
    <t>Count employees in each city</t>
  </si>
  <si>
    <t>CITY</t>
  </si>
  <si>
    <t>Number Of Employment</t>
  </si>
  <si>
    <t>Calculate total Annual_Salary by department.</t>
  </si>
  <si>
    <t>Calculate total Bonus by department.</t>
  </si>
  <si>
    <t>Bonus By Department</t>
  </si>
  <si>
    <t>Calculate average Satisfaction_Score by department.</t>
  </si>
  <si>
    <t>AVG Satisfaction Score By Dep</t>
  </si>
  <si>
    <t>21/052020</t>
  </si>
  <si>
    <t>Return Band Bonus Rate</t>
  </si>
  <si>
    <t>Return Maximum Salary Bonus</t>
  </si>
  <si>
    <t>Return Minimum Salary Bonus</t>
  </si>
  <si>
    <t>Eligibility</t>
  </si>
  <si>
    <t>Which department has the highest total salary cost?</t>
  </si>
  <si>
    <t>Which city has the most employees?</t>
  </si>
  <si>
    <t>Finance Department</t>
  </si>
  <si>
    <t>Lagos &amp; Abuja</t>
  </si>
  <si>
    <t>Which department has the highest average satisfaction?</t>
  </si>
  <si>
    <t>Operations DEP</t>
  </si>
  <si>
    <t>How many employees are below target?</t>
  </si>
  <si>
    <t>How many employees have high absence?</t>
  </si>
  <si>
    <t>What is the highest salary?</t>
  </si>
  <si>
    <t>What is the lowest salary?</t>
  </si>
  <si>
    <t>What is the average salary?</t>
  </si>
  <si>
    <t>What is total payroll (salary + bonus)?</t>
  </si>
  <si>
    <t>Which employee has the highest Sales_Achieved?</t>
  </si>
  <si>
    <t xml:space="preserve">EMP099 Blessing Okafor </t>
  </si>
  <si>
    <t>Row Labels</t>
  </si>
  <si>
    <t>Grand Total</t>
  </si>
  <si>
    <t>Count of Employee_ID</t>
  </si>
  <si>
    <t>Sum of Annual_Salary</t>
  </si>
  <si>
    <t>Sum of Satisfaction_Score</t>
  </si>
  <si>
    <t>Sum of Bonus</t>
  </si>
  <si>
    <t>Total Bonus by City.</t>
  </si>
  <si>
    <t>Average Satisfaction_Score by Department.</t>
  </si>
  <si>
    <t>Sort the salary summary highest to lowest.</t>
  </si>
  <si>
    <t>Conditional formatting: salaries above 600,000.</t>
  </si>
  <si>
    <t>Sum of Absent_Days</t>
  </si>
  <si>
    <t>Conditional formatting: Absent_Days above 7.</t>
  </si>
  <si>
    <t>Total Annual_Salary by Department</t>
  </si>
  <si>
    <t>Employee Count by Department and Status</t>
  </si>
  <si>
    <t>Count By Employment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</si>
</sst>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[Northstar_Corporate_UNFINISH1.xlsx]Sheet1!PivotTable2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SALARY BY DEPARTMENT</a:t>
            </a:r>
          </a:p>
        </c:rich>
      </c:tx>
      <c:layout>
        <c:manualLayout>
          <c:xMode val="edge"/>
          <c:yMode val="edge"/>
          <c:x val="0.24351131773645629"/>
          <c:y val="5.5145691766464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Sheet1!$A$17:$A$24</c:f>
              <c:strCache>
                <c:ptCount val="7"/>
                <c:pt idx="0">
                  <c:v>Customer Success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Sheet1!$B$17:$B$24</c:f>
              <c:numCache>
                <c:formatCode>#,##0</c:formatCode>
                <c:ptCount val="7"/>
                <c:pt idx="0">
                  <c:v>6634937</c:v>
                </c:pt>
                <c:pt idx="1">
                  <c:v>7349960</c:v>
                </c:pt>
                <c:pt idx="2">
                  <c:v>7142603</c:v>
                </c:pt>
                <c:pt idx="3">
                  <c:v>6361094</c:v>
                </c:pt>
                <c:pt idx="4">
                  <c:v>6869489</c:v>
                </c:pt>
                <c:pt idx="5">
                  <c:v>6711627</c:v>
                </c:pt>
                <c:pt idx="6">
                  <c:v>7272395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0-4B2A-8066-A458F87650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61070744"/>
        <c:axId val="561071448"/>
      </c:barChart>
      <c:catAx>
        <c:axId val="56107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1448"/>
        <c:crosses val="autoZero"/>
        <c:auto val="1"/>
        <c:lblAlgn val="ctr"/>
        <c:lblOffset val="100"/>
        <c:noMultiLvlLbl val="0"/>
      </c:catAx>
      <c:valAx>
        <c:axId val="56107144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6107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03021779352506"/>
          <c:y val="0.48536149734103223"/>
          <c:w val="0.12933341612981678"/>
          <c:h val="0.14657378241463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[Northstar_Corporate_UNFINISH1.xlsx]Sheet1!PivotTable9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COUNT</a:t>
            </a:r>
            <a:r>
              <a:rPr lang="en-US" baseline="0">
                <a:solidFill>
                  <a:schemeClr val="tx1"/>
                </a:solidFill>
              </a:rPr>
              <a:t> BY EMPLOYMENT TYPE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8666666666666652E-2"/>
                  <c:h val="7.0564145530015776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11111111111111"/>
          <c:y val="0.23432542054729302"/>
          <c:w val="0.82248140857392826"/>
          <c:h val="0.574277714600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Sheet1!$F$35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666666666666652E-2"/>
                      <c:h val="7.05641455300157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21F-41B8-8D8B-1FB111CC1D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Sheet1!$E$36:$E$38</c:f>
              <c:strCache>
                <c:ptCount val="2"/>
                <c:pt idx="0">
                  <c:v>Contract</c:v>
                </c:pt>
                <c:pt idx="1">
                  <c:v>Full-time</c:v>
                </c:pt>
              </c:strCache>
            </c:strRef>
          </c:cat>
          <c:val>
            <c:numRef>
              <c:f>Sheet1!$F$36:$F$38</c:f>
              <c:numCache>
                <c:formatCode>General</c:formatCode>
                <c:ptCount val="2"/>
                <c:pt idx="0">
                  <c:v>33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F-41B8-8D8B-1FB111CC1D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41991944"/>
        <c:axId val="541985960"/>
      </c:barChart>
      <c:catAx>
        <c:axId val="5419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85960"/>
        <c:crosses val="autoZero"/>
        <c:auto val="1"/>
        <c:lblAlgn val="ctr"/>
        <c:lblOffset val="100"/>
        <c:noMultiLvlLbl val="0"/>
      </c:catAx>
      <c:valAx>
        <c:axId val="541985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199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269875</xdr:colOff>
      <xdr:row>26</xdr:row>
      <xdr:rowOff>15875</xdr:rowOff>
    </xdr:from>
    <xdr:to>
      <xdr:col>2</xdr:col>
      <xdr:colOff>95249</xdr:colOff>
      <xdr:row>42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19FA5-0497-03A1-A647-097FEBD24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1587500</xdr:colOff>
      <xdr:row>42</xdr:row>
      <xdr:rowOff>17461</xdr:rowOff>
    </xdr:from>
    <xdr:to>
      <xdr:col>5</xdr:col>
      <xdr:colOff>1968500</xdr:colOff>
      <xdr:row>59</xdr:row>
      <xdr:rowOff>15874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272B2-CE42-A88C-FA52-263AEBC73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87.457891319442" createdVersion="8" refreshedVersion="8" minRefreshableVersion="3" recordCount="100" xr:uid="{A021FDB9-F4DE-498D-8BF8-BF61B127668E}">
  <cacheSource type="worksheet">
    <worksheetSource ref="A1:AE101" sheet="Employee_Data"/>
  </cacheSource>
  <cacheFields count="31">
    <cacheField name="Employee_ID" numFmtId="0">
      <sharedItems count="1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</sharedItems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Department" numFmtId="0">
      <sharedItems count="7">
        <s v="Sales"/>
        <s v="Finance"/>
        <s v="Operations"/>
        <s v="IT"/>
        <s v="HR"/>
        <s v="Marketing"/>
        <s v="Customer Success"/>
      </sharedItems>
    </cacheField>
    <cacheField name="Job_Title" numFmtId="0">
      <sharedItems/>
    </cacheField>
    <cacheField name="City" numFmtId="0">
      <sharedItems count="7">
        <s v="Lagos"/>
        <s v="Abuja"/>
        <s v="Port Harcourt"/>
        <s v="Ibadan"/>
        <s v="Kano"/>
        <s v="Owerri"/>
        <s v="Enugu"/>
      </sharedItems>
    </cacheField>
    <cacheField name="Join_Date" numFmtId="164">
      <sharedItems containsSemiMixedTypes="0" containsNonDate="0" containsDate="1" containsString="0" minDate="2020-01-28T00:00:00" maxDate="2026-07-24T00:00:00"/>
    </cacheField>
    <cacheField name="Date_of_Birth" numFmtId="164">
      <sharedItems containsSemiMixedTypes="0" containsNonDate="0" containsDate="1" containsString="0" minDate="1986-02-14T00:00:00" maxDate="2017-09-16T00:00:00"/>
    </cacheField>
    <cacheField name="Employment_Type" numFmtId="0">
      <sharedItems count="2">
        <s v="Full-time"/>
        <s v="Contract"/>
      </sharedItems>
    </cacheField>
    <cacheField name="Status" numFmtId="0">
      <sharedItems count="3">
        <s v="Active"/>
        <s v="On Leave"/>
        <s v="Resigned"/>
      </sharedItems>
    </cacheField>
    <cacheField name="Salary_Band" numFmtId="0">
      <sharedItems/>
    </cacheField>
    <cacheField name="Annual_Salary" numFmtId="3">
      <sharedItems containsSemiMixedTypes="0" containsString="0" containsNumber="1" containsInteger="1" minValue="201061" maxValue="798419" count="100">
        <n v="283810"/>
        <n v="477397"/>
        <n v="728893"/>
        <n v="212156"/>
        <n v="472357"/>
        <n v="710458"/>
        <n v="279840"/>
        <n v="489733"/>
        <n v="785909"/>
        <n v="256155"/>
        <n v="478172"/>
        <n v="798419"/>
        <n v="299871"/>
        <n v="478504"/>
        <n v="795932"/>
        <n v="279507"/>
        <n v="432493"/>
        <n v="708834"/>
        <n v="275525"/>
        <n v="453883"/>
        <n v="725112"/>
        <n v="212833"/>
        <n v="407685"/>
        <n v="724890"/>
        <n v="265909"/>
        <n v="474668"/>
        <n v="787782"/>
        <n v="273792"/>
        <n v="420676"/>
        <n v="734664"/>
        <n v="264032"/>
        <n v="421178"/>
        <n v="776350"/>
        <n v="246357"/>
        <n v="487806"/>
        <n v="740001"/>
        <n v="284080"/>
        <n v="414208"/>
        <n v="768146"/>
        <n v="286951"/>
        <n v="455108"/>
        <n v="756346"/>
        <n v="237196"/>
        <n v="403201"/>
        <n v="719342"/>
        <n v="215906"/>
        <n v="497472"/>
        <n v="710155"/>
        <n v="208418"/>
        <n v="475456"/>
        <n v="763993"/>
        <n v="270008"/>
        <n v="434099"/>
        <n v="702540"/>
        <n v="281439"/>
        <n v="421992"/>
        <n v="777607"/>
        <n v="209038"/>
        <n v="457080"/>
        <n v="711359"/>
        <n v="227802"/>
        <n v="494381"/>
        <n v="738566"/>
        <n v="243357"/>
        <n v="499901"/>
        <n v="739618"/>
        <n v="213446"/>
        <n v="408564"/>
        <n v="715525"/>
        <n v="256207"/>
        <n v="431439"/>
        <n v="792662"/>
        <n v="284886"/>
        <n v="490266"/>
        <n v="779129"/>
        <n v="268021"/>
        <n v="487835"/>
        <n v="741224"/>
        <n v="267952"/>
        <n v="457424"/>
        <n v="753476"/>
        <n v="263242"/>
        <n v="444548"/>
        <n v="745236"/>
        <n v="253841"/>
        <n v="477356"/>
        <n v="761537"/>
        <n v="204705"/>
        <n v="421805"/>
        <n v="754008"/>
        <n v="276435"/>
        <n v="409681"/>
        <n v="763335"/>
        <n v="201061"/>
        <n v="483442"/>
        <n v="757779"/>
        <n v="247953"/>
        <n v="498848"/>
        <n v="759609"/>
        <n v="203280"/>
      </sharedItems>
    </cacheField>
    <cacheField name="Bonus" numFmtId="3">
      <sharedItems containsSemiMixedTypes="0" containsString="0" containsNumber="1" containsInteger="1" minValue="929" maxValue="149214"/>
    </cacheField>
    <cacheField name="Sales_Target" numFmtId="0">
      <sharedItems containsSemiMixedTypes="0" containsString="0" containsNumber="1" containsInteger="1" minValue="50" maxValue="100"/>
    </cacheField>
    <cacheField name="Sales_Achieved" numFmtId="0">
      <sharedItems containsSemiMixedTypes="0" containsString="0" containsNumber="1" containsInteger="1" minValue="36" maxValue="120" count="61">
        <n v="94"/>
        <n v="36"/>
        <n v="47"/>
        <n v="74"/>
        <n v="92"/>
        <n v="71"/>
        <n v="91"/>
        <n v="46"/>
        <n v="100"/>
        <n v="67"/>
        <n v="58"/>
        <n v="76"/>
        <n v="38"/>
        <n v="112"/>
        <n v="108"/>
        <n v="52"/>
        <n v="66"/>
        <n v="110"/>
        <n v="64"/>
        <n v="54"/>
        <n v="70"/>
        <n v="65"/>
        <n v="77"/>
        <n v="75"/>
        <n v="102"/>
        <n v="78"/>
        <n v="84"/>
        <n v="73"/>
        <n v="107"/>
        <n v="96"/>
        <n v="118"/>
        <n v="81"/>
        <n v="88"/>
        <n v="109"/>
        <n v="99"/>
        <n v="106"/>
        <n v="101"/>
        <n v="61"/>
        <n v="68"/>
        <n v="85"/>
        <n v="103"/>
        <n v="72"/>
        <n v="55"/>
        <n v="93"/>
        <n v="51"/>
        <n v="80"/>
        <n v="89"/>
        <n v="44"/>
        <n v="63"/>
        <n v="43"/>
        <n v="49"/>
        <n v="62"/>
        <n v="48"/>
        <n v="113"/>
        <n v="86"/>
        <n v="90"/>
        <n v="82"/>
        <n v="57"/>
        <n v="119"/>
        <n v="120"/>
        <n v="83"/>
      </sharedItems>
    </cacheField>
    <cacheField name="Satisfaction_Score" numFmtId="0">
      <sharedItems containsSemiMixedTypes="0" containsString="0" containsNumber="1" containsInteger="1" minValue="55" maxValue="98"/>
    </cacheField>
    <cacheField name="Absent_Days" numFmtId="0">
      <sharedItems containsSemiMixedTypes="0" containsString="0" containsNumber="1" containsInteger="1" minValue="0" maxValue="12" count="13">
        <n v="11"/>
        <n v="3"/>
        <n v="1"/>
        <n v="10"/>
        <n v="9"/>
        <n v="8"/>
        <n v="2"/>
        <n v="6"/>
        <n v="12"/>
        <n v="7"/>
        <n v="0"/>
        <n v="5"/>
        <n v="4"/>
      </sharedItems>
    </cacheField>
    <cacheField name="Performance_Rating" numFmtId="0">
      <sharedItems count="4">
        <s v="Needs Improvement"/>
        <s v="Good"/>
        <s v="Average"/>
        <s v="Excellent"/>
      </sharedItems>
    </cacheField>
    <cacheField name="Recruitment_Source" numFmtId="0">
      <sharedItems/>
    </cacheField>
    <cacheField name="Salary_Level" numFmtId="0">
      <sharedItems/>
    </cacheField>
    <cacheField name="Target_Status" numFmtId="0">
      <sharedItems count="2">
        <s v="Met Target"/>
        <s v="Below Target"/>
      </sharedItems>
    </cacheField>
    <cacheField name="Attendance_Status" numFmtId="0">
      <sharedItems count="2">
        <s v="High Absence"/>
        <s v="Normal"/>
      </sharedItems>
    </cacheField>
    <cacheField name="Performance_Flag" numFmtId="0">
      <sharedItems/>
    </cacheField>
    <cacheField name="Vlookup" numFmtId="0">
      <sharedItems containsSemiMixedTypes="0" containsString="0" containsNumber="1" minValue="0.05" maxValue="0.12"/>
    </cacheField>
    <cacheField name="Ifeffor Estimated Bonus" numFmtId="0">
      <sharedItems containsSemiMixedTypes="0" containsString="0" containsNumber="1" minValue="10053.050000000001" maxValue="95810.28"/>
    </cacheField>
    <cacheField name="Final Pay" numFmtId="3">
      <sharedItems containsSemiMixedTypes="0" containsString="0" containsNumber="1" minValue="238632.25" maxValue="1016035.84"/>
    </cacheField>
    <cacheField name="Return Minimum Salary Bonus" numFmtId="0">
      <sharedItems containsSemiMixedTypes="0" containsString="0" containsNumber="1" containsInteger="1" minValue="180000" maxValue="550000"/>
    </cacheField>
    <cacheField name="Return Maximum Salary Bonus" numFmtId="0">
      <sharedItems containsSemiMixedTypes="0" containsString="0" containsNumber="1" containsInteger="1" minValue="319999" maxValue="999999"/>
    </cacheField>
    <cacheField name="Return Band Bonus Rate" numFmtId="0">
      <sharedItems containsSemiMixedTypes="0" containsString="0" containsNumber="1" minValue="0.05" maxValue="0.12"/>
    </cacheField>
    <cacheField name="Eligibi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isha"/>
    <s v="Okafor"/>
    <s v="aisha.okafor@northstar-group.com"/>
    <x v="0"/>
    <s v="Sales Analyst"/>
    <x v="0"/>
    <d v="2021-04-06T00:00:00"/>
    <d v="1986-02-14T00:00:00"/>
    <x v="0"/>
    <x v="0"/>
    <s v="Junior"/>
    <x v="0"/>
    <n v="26868"/>
    <n v="97"/>
    <x v="0"/>
    <n v="98"/>
    <x v="0"/>
    <x v="0"/>
    <s v="LinkedIn"/>
    <s v="Junior"/>
    <x v="0"/>
    <x v="0"/>
    <s v="Normal Review"/>
    <n v="0.05"/>
    <n v="14190.5"/>
    <n v="324868.5"/>
    <n v="180000"/>
    <n v="319999"/>
    <n v="0.05"/>
    <s v="Correct Band"/>
  </r>
  <r>
    <x v="1"/>
    <s v="Daniel"/>
    <s v="Mensah"/>
    <s v="daniel.mensah@northstar-group.com"/>
    <x v="1"/>
    <s v="Financial Analyst"/>
    <x v="1"/>
    <d v="2024-09-29T00:00:00"/>
    <d v="1986-06-05T00:00:00"/>
    <x v="0"/>
    <x v="1"/>
    <s v="Mid-Level"/>
    <x v="1"/>
    <n v="6956"/>
    <n v="51"/>
    <x v="1"/>
    <n v="90"/>
    <x v="1"/>
    <x v="0"/>
    <s v="Indeed"/>
    <s v="Mid_Level"/>
    <x v="0"/>
    <x v="1"/>
    <s v="Normal Review"/>
    <n v="0.08"/>
    <n v="38191.760000000002"/>
    <n v="522544.76"/>
    <n v="320000"/>
    <n v="549999"/>
    <n v="0.08"/>
    <s v="Correct Band"/>
  </r>
  <r>
    <x v="2"/>
    <s v="Grace"/>
    <s v="Adeyemi"/>
    <s v="grace.adeyemi@northstar-group.com"/>
    <x v="2"/>
    <s v="Operations Analyst"/>
    <x v="2"/>
    <d v="2025-01-18T00:00:00"/>
    <d v="2011-06-08T00:00:00"/>
    <x v="1"/>
    <x v="0"/>
    <s v="Senior"/>
    <x v="2"/>
    <n v="72842"/>
    <n v="67"/>
    <x v="2"/>
    <n v="64"/>
    <x v="1"/>
    <x v="1"/>
    <s v="LinkedIn"/>
    <s v="Senior"/>
    <x v="0"/>
    <x v="1"/>
    <s v="Normal Review"/>
    <n v="0.12"/>
    <n v="87467.16"/>
    <n v="889202.16"/>
    <n v="550000"/>
    <n v="999999"/>
    <n v="0.12"/>
    <s v="Correct Band"/>
  </r>
  <r>
    <x v="3"/>
    <s v="Michael"/>
    <s v="Bello"/>
    <s v="michael.bello@northstar-group.com"/>
    <x v="3"/>
    <s v="Systems Analyst"/>
    <x v="3"/>
    <d v="2024-04-10T00:00:00"/>
    <d v="1989-05-04T00:00:00"/>
    <x v="0"/>
    <x v="0"/>
    <s v="Junior"/>
    <x v="3"/>
    <n v="120435"/>
    <n v="72"/>
    <x v="3"/>
    <n v="89"/>
    <x v="2"/>
    <x v="2"/>
    <s v="LinkedIn"/>
    <s v="Junior"/>
    <x v="1"/>
    <x v="1"/>
    <s v="Normal Review"/>
    <n v="0.05"/>
    <n v="10607.800000000001"/>
    <n v="343198.8"/>
    <n v="180000"/>
    <n v="319999"/>
    <n v="0.05"/>
    <s v="Correct Band"/>
  </r>
  <r>
    <x v="4"/>
    <s v="Chiamaka"/>
    <s v="Eze"/>
    <s v="chiamaka.eze@northstar-group.com"/>
    <x v="4"/>
    <s v="HR Associate"/>
    <x v="4"/>
    <d v="2023-04-20T00:00:00"/>
    <d v="2013-03-14T00:00:00"/>
    <x v="0"/>
    <x v="2"/>
    <s v="Mid-Level"/>
    <x v="4"/>
    <n v="18233"/>
    <n v="89"/>
    <x v="4"/>
    <n v="57"/>
    <x v="3"/>
    <x v="1"/>
    <s v="Referral"/>
    <s v="Mid_Level"/>
    <x v="1"/>
    <x v="0"/>
    <s v="Normal Review"/>
    <n v="0.08"/>
    <n v="37788.559999999998"/>
    <n v="528378.56000000006"/>
    <n v="320000"/>
    <n v="549999"/>
    <n v="0.08"/>
    <s v="Correct Band"/>
  </r>
  <r>
    <x v="5"/>
    <s v="David"/>
    <s v="Okoro"/>
    <s v="david.okoro@northstar-group.com"/>
    <x v="5"/>
    <s v="Marketing Coordinator"/>
    <x v="5"/>
    <d v="2022-08-16T00:00:00"/>
    <d v="1989-07-13T00:00:00"/>
    <x v="0"/>
    <x v="0"/>
    <s v="Senior"/>
    <x v="5"/>
    <n v="97040"/>
    <n v="74"/>
    <x v="5"/>
    <n v="77"/>
    <x v="1"/>
    <x v="1"/>
    <s v="LinkedIn"/>
    <s v="Senior"/>
    <x v="0"/>
    <x v="1"/>
    <s v="Normal Review"/>
    <n v="0.12"/>
    <n v="85254.959999999992"/>
    <n v="892752.96"/>
    <n v="550000"/>
    <n v="999999"/>
    <n v="0.12"/>
    <s v="Correct Band"/>
  </r>
  <r>
    <x v="6"/>
    <s v="Sarah"/>
    <s v="Ibrahim"/>
    <s v="sarah.ibrahim@northstar-group.com"/>
    <x v="6"/>
    <s v="Customer Success Analyst"/>
    <x v="6"/>
    <d v="2021-12-06T00:00:00"/>
    <d v="2008-12-17T00:00:00"/>
    <x v="1"/>
    <x v="0"/>
    <s v="Junior"/>
    <x v="6"/>
    <n v="70765"/>
    <n v="96"/>
    <x v="6"/>
    <n v="95"/>
    <x v="0"/>
    <x v="0"/>
    <s v="Company Website"/>
    <s v="Junior"/>
    <x v="0"/>
    <x v="0"/>
    <s v="Normal Review"/>
    <n v="0.05"/>
    <n v="13992"/>
    <n v="364597"/>
    <n v="180000"/>
    <n v="319999"/>
    <n v="0.05"/>
    <s v="Correct Band"/>
  </r>
  <r>
    <x v="7"/>
    <s v="James"/>
    <s v="Adebayo"/>
    <s v="james.adebayo@northstar-group.com"/>
    <x v="0"/>
    <s v="Account Executive"/>
    <x v="0"/>
    <d v="2023-08-26T00:00:00"/>
    <d v="1987-07-06T00:00:00"/>
    <x v="1"/>
    <x v="0"/>
    <s v="Mid-Level"/>
    <x v="7"/>
    <n v="17350"/>
    <n v="64"/>
    <x v="7"/>
    <n v="68"/>
    <x v="4"/>
    <x v="1"/>
    <s v="Company Website"/>
    <s v="Mid_Level"/>
    <x v="0"/>
    <x v="0"/>
    <s v="Normal Review"/>
    <n v="0.08"/>
    <n v="39178.639999999999"/>
    <n v="546261.64"/>
    <n v="320000"/>
    <n v="549999"/>
    <n v="0.08"/>
    <s v="Correct Band"/>
  </r>
  <r>
    <x v="8"/>
    <s v="Blessing"/>
    <s v="Nwosu"/>
    <s v="blessing.nwosu@northstar-group.com"/>
    <x v="1"/>
    <s v="Financial Analyst"/>
    <x v="1"/>
    <d v="2025-08-11T00:00:00"/>
    <d v="2002-10-01T00:00:00"/>
    <x v="0"/>
    <x v="0"/>
    <s v="Senior"/>
    <x v="8"/>
    <n v="64651"/>
    <n v="91"/>
    <x v="8"/>
    <n v="90"/>
    <x v="5"/>
    <x v="1"/>
    <s v="Recruitment Agency"/>
    <s v="Senior"/>
    <x v="1"/>
    <x v="0"/>
    <s v="Normal Review"/>
    <n v="0.12"/>
    <n v="94309.08"/>
    <n v="944869.08"/>
    <n v="550000"/>
    <n v="999999"/>
    <n v="0.12"/>
    <s v="Correct Band"/>
  </r>
  <r>
    <x v="9"/>
    <s v="Victor"/>
    <s v="Umeh"/>
    <s v="victor.umeh@northstar-group.com"/>
    <x v="2"/>
    <s v="Operations Analyst"/>
    <x v="2"/>
    <d v="2026-07-23T00:00:00"/>
    <d v="2002-12-01T00:00:00"/>
    <x v="1"/>
    <x v="0"/>
    <s v="Junior"/>
    <x v="9"/>
    <n v="12351"/>
    <n v="73"/>
    <x v="9"/>
    <n v="62"/>
    <x v="6"/>
    <x v="1"/>
    <s v="Indeed"/>
    <s v="Junior"/>
    <x v="0"/>
    <x v="1"/>
    <s v="Normal Review"/>
    <n v="0.05"/>
    <n v="12807.75"/>
    <n v="281313.75"/>
    <n v="180000"/>
    <n v="319999"/>
    <n v="0.05"/>
    <s v="Correct Band"/>
  </r>
  <r>
    <x v="10"/>
    <s v="John"/>
    <s v="Smith"/>
    <s v="john.smith@northstar-group.com"/>
    <x v="3"/>
    <s v="IT Support Specialist"/>
    <x v="3"/>
    <d v="2020-09-22T00:00:00"/>
    <d v="2002-04-06T00:00:00"/>
    <x v="0"/>
    <x v="1"/>
    <s v="Mid-Level"/>
    <x v="10"/>
    <n v="3009"/>
    <n v="74"/>
    <x v="4"/>
    <n v="98"/>
    <x v="0"/>
    <x v="3"/>
    <s v="Recruitment Agency"/>
    <s v="Mid_Level"/>
    <x v="1"/>
    <x v="0"/>
    <s v="Review For Reward"/>
    <n v="0.08"/>
    <n v="38253.760000000002"/>
    <n v="519434.76"/>
    <n v="320000"/>
    <n v="549999"/>
    <n v="0.08"/>
    <s v="Correct Band"/>
  </r>
  <r>
    <x v="11"/>
    <s v="Mary"/>
    <s v="Williams"/>
    <s v="mary.williams@northstar-group.com"/>
    <x v="4"/>
    <s v="Recruitment Specialist"/>
    <x v="4"/>
    <d v="2023-01-02T00:00:00"/>
    <d v="2013-10-02T00:00:00"/>
    <x v="1"/>
    <x v="0"/>
    <s v="Senior"/>
    <x v="11"/>
    <n v="118940"/>
    <n v="71"/>
    <x v="10"/>
    <n v="55"/>
    <x v="0"/>
    <x v="1"/>
    <s v="Recruitment Agency"/>
    <s v="Senior"/>
    <x v="0"/>
    <x v="0"/>
    <s v="Normal Review"/>
    <n v="0.12"/>
    <n v="95810.28"/>
    <n v="1013169.28"/>
    <n v="550000"/>
    <n v="999999"/>
    <n v="0.12"/>
    <s v="Correct Band"/>
  </r>
  <r>
    <x v="12"/>
    <s v="Peter"/>
    <s v="Johnson"/>
    <s v="peter.johnson@northstar-group.com"/>
    <x v="5"/>
    <s v="Marketing Coordinator"/>
    <x v="5"/>
    <d v="2022-01-06T00:00:00"/>
    <d v="2007-10-10T00:00:00"/>
    <x v="0"/>
    <x v="0"/>
    <s v="Junior"/>
    <x v="12"/>
    <n v="98019"/>
    <n v="56"/>
    <x v="11"/>
    <n v="65"/>
    <x v="5"/>
    <x v="0"/>
    <s v="LinkedIn"/>
    <s v="Junior"/>
    <x v="1"/>
    <x v="0"/>
    <s v="Normal Review"/>
    <n v="0.05"/>
    <n v="14993.550000000001"/>
    <n v="412883.55"/>
    <n v="180000"/>
    <n v="319999"/>
    <n v="0.05"/>
    <s v="Correct Band"/>
  </r>
  <r>
    <x v="13"/>
    <s v="Esther"/>
    <s v="Brown"/>
    <s v="esther.brown@northstar-group.com"/>
    <x v="6"/>
    <s v="Customer Success Associate"/>
    <x v="6"/>
    <d v="2023-08-25T00:00:00"/>
    <d v="2006-12-02T00:00:00"/>
    <x v="0"/>
    <x v="0"/>
    <s v="Mid-Level"/>
    <x v="13"/>
    <n v="15184"/>
    <n v="51"/>
    <x v="12"/>
    <n v="70"/>
    <x v="4"/>
    <x v="3"/>
    <s v="LinkedIn"/>
    <s v="Mid_Level"/>
    <x v="0"/>
    <x v="0"/>
    <s v="Review For Reward"/>
    <n v="0.08"/>
    <n v="38280.32"/>
    <n v="531968.31999999995"/>
    <n v="320000"/>
    <n v="549999"/>
    <n v="0.08"/>
    <s v="Correct Band"/>
  </r>
  <r>
    <x v="14"/>
    <s v="Ifeoma"/>
    <s v="Okafor"/>
    <s v="ifeoma.okafor@northstar-group.com"/>
    <x v="0"/>
    <s v="Sales Analyst"/>
    <x v="0"/>
    <d v="2025-06-18T00:00:00"/>
    <d v="1988-02-08T00:00:00"/>
    <x v="0"/>
    <x v="2"/>
    <s v="Senior"/>
    <x v="14"/>
    <n v="124592"/>
    <n v="98"/>
    <x v="13"/>
    <n v="90"/>
    <x v="6"/>
    <x v="1"/>
    <s v="Recruitment Agency"/>
    <s v="Senior"/>
    <x v="1"/>
    <x v="1"/>
    <s v="Normal Review"/>
    <n v="0.12"/>
    <n v="95511.84"/>
    <n v="1016035.84"/>
    <n v="550000"/>
    <n v="999999"/>
    <n v="0.12"/>
    <s v="Correct Band"/>
  </r>
  <r>
    <x v="15"/>
    <s v="Samuel"/>
    <s v="Mensah"/>
    <s v="samuel.mensah@northstar-group.com"/>
    <x v="1"/>
    <s v="Financial Analyst"/>
    <x v="1"/>
    <d v="2024-10-04T00:00:00"/>
    <d v="1994-07-03T00:00:00"/>
    <x v="0"/>
    <x v="0"/>
    <s v="Junior"/>
    <x v="15"/>
    <n v="97889"/>
    <n v="84"/>
    <x v="14"/>
    <n v="83"/>
    <x v="5"/>
    <x v="2"/>
    <s v="LinkedIn"/>
    <s v="Junior"/>
    <x v="1"/>
    <x v="0"/>
    <s v="Normal Review"/>
    <n v="0.05"/>
    <n v="13975.35"/>
    <n v="391371.35"/>
    <n v="180000"/>
    <n v="319999"/>
    <n v="0.05"/>
    <s v="Correct Band"/>
  </r>
  <r>
    <x v="16"/>
    <s v="Ruth"/>
    <s v="Adeyemi"/>
    <s v="ruth.adeyemi@northstar-group.com"/>
    <x v="2"/>
    <s v="Supply Planner"/>
    <x v="2"/>
    <d v="2022-07-14T00:00:00"/>
    <d v="1987-11-16T00:00:00"/>
    <x v="0"/>
    <x v="1"/>
    <s v="Mid-Level"/>
    <x v="16"/>
    <n v="57728"/>
    <n v="71"/>
    <x v="15"/>
    <n v="55"/>
    <x v="2"/>
    <x v="3"/>
    <s v="Company Website"/>
    <s v="Mid_Level"/>
    <x v="0"/>
    <x v="1"/>
    <s v="Review For Reward"/>
    <n v="0.08"/>
    <n v="34599.440000000002"/>
    <n v="524820.43999999994"/>
    <n v="320000"/>
    <n v="549999"/>
    <n v="0.08"/>
    <s v="Correct Band"/>
  </r>
  <r>
    <x v="17"/>
    <s v="Emeka"/>
    <s v="Bello"/>
    <s v="emeka.bello@northstar-group.com"/>
    <x v="3"/>
    <s v="Data Analyst"/>
    <x v="3"/>
    <d v="2020-05-13T00:00:00"/>
    <d v="1999-10-28T00:00:00"/>
    <x v="0"/>
    <x v="2"/>
    <s v="Senior"/>
    <x v="17"/>
    <n v="127248"/>
    <n v="54"/>
    <x v="16"/>
    <n v="68"/>
    <x v="5"/>
    <x v="1"/>
    <s v="Recruitment Agency"/>
    <s v="Senior"/>
    <x v="1"/>
    <x v="0"/>
    <s v="Normal Review"/>
    <n v="0.12"/>
    <n v="85060.08"/>
    <n v="921142.08"/>
    <n v="550000"/>
    <n v="999999"/>
    <n v="0.12"/>
    <s v="Correct Band"/>
  </r>
  <r>
    <x v="18"/>
    <s v="Linda"/>
    <s v="Eze"/>
    <s v="linda.eze@northstar-group.com"/>
    <x v="4"/>
    <s v="Recruitment Specialist"/>
    <x v="4"/>
    <d v="2025-04-25T00:00:00"/>
    <d v="1995-11-26T00:00:00"/>
    <x v="0"/>
    <x v="0"/>
    <s v="Junior"/>
    <x v="18"/>
    <n v="25409"/>
    <n v="100"/>
    <x v="17"/>
    <n v="97"/>
    <x v="7"/>
    <x v="1"/>
    <s v="Indeed"/>
    <s v="Junior"/>
    <x v="1"/>
    <x v="1"/>
    <s v="Normal Review"/>
    <n v="0.05"/>
    <n v="13776.25"/>
    <n v="314710.25"/>
    <n v="180000"/>
    <n v="319999"/>
    <n v="0.05"/>
    <s v="Correct Band"/>
  </r>
  <r>
    <x v="19"/>
    <s v="Brian"/>
    <s v="Okoro"/>
    <s v="brian.okoro@northstar-group.com"/>
    <x v="5"/>
    <s v="Digital Marketing Specialist"/>
    <x v="5"/>
    <d v="2025-04-01T00:00:00"/>
    <d v="2017-09-15T00:00:00"/>
    <x v="0"/>
    <x v="0"/>
    <s v="Mid-Level"/>
    <x v="19"/>
    <n v="105544"/>
    <n v="53"/>
    <x v="11"/>
    <n v="76"/>
    <x v="8"/>
    <x v="3"/>
    <s v="Company Website"/>
    <s v="Mid_Level"/>
    <x v="1"/>
    <x v="0"/>
    <s v="Review For Reward"/>
    <n v="0.08"/>
    <n v="36310.639999999999"/>
    <n v="595737.64"/>
    <n v="320000"/>
    <n v="549999"/>
    <n v="0.08"/>
    <s v="Correct Band"/>
  </r>
  <r>
    <x v="20"/>
    <s v="Tolu"/>
    <s v="Ibrahim"/>
    <s v="tolu.ibrahim@northstar-group.com"/>
    <x v="6"/>
    <s v="Customer Success Associate"/>
    <x v="6"/>
    <d v="2022-02-23T00:00:00"/>
    <d v="2009-01-21T00:00:00"/>
    <x v="0"/>
    <x v="0"/>
    <s v="Senior"/>
    <x v="20"/>
    <n v="121275"/>
    <n v="78"/>
    <x v="16"/>
    <n v="70"/>
    <x v="2"/>
    <x v="2"/>
    <s v="Recruitment Agency"/>
    <s v="Senior"/>
    <x v="0"/>
    <x v="1"/>
    <s v="Normal Review"/>
    <n v="0.12"/>
    <n v="87013.440000000002"/>
    <n v="933400.44"/>
    <n v="550000"/>
    <n v="999999"/>
    <n v="0.12"/>
    <s v="Correct Band"/>
  </r>
  <r>
    <x v="21"/>
    <s v="Ngozi"/>
    <s v="Adebayo"/>
    <s v="ngozi.adebayo@northstar-group.com"/>
    <x v="0"/>
    <s v="Sales Analyst"/>
    <x v="0"/>
    <d v="2020-07-31T00:00:00"/>
    <d v="2014-04-03T00:00:00"/>
    <x v="0"/>
    <x v="0"/>
    <s v="Junior"/>
    <x v="21"/>
    <n v="106539"/>
    <n v="84"/>
    <x v="18"/>
    <n v="86"/>
    <x v="9"/>
    <x v="1"/>
    <s v="Indeed"/>
    <s v="Junior"/>
    <x v="0"/>
    <x v="1"/>
    <s v="Normal Review"/>
    <n v="0.05"/>
    <n v="10641.650000000001"/>
    <n v="330013.65000000002"/>
    <n v="180000"/>
    <n v="319999"/>
    <n v="0.05"/>
    <s v="Correct Band"/>
  </r>
  <r>
    <x v="22"/>
    <s v="Henry"/>
    <s v="Nwosu"/>
    <s v="henry.nwosu@northstar-group.com"/>
    <x v="1"/>
    <s v="Accountant"/>
    <x v="1"/>
    <d v="2021-11-10T00:00:00"/>
    <d v="2002-01-01T00:00:00"/>
    <x v="1"/>
    <x v="0"/>
    <s v="Mid-Level"/>
    <x v="22"/>
    <n v="110888"/>
    <n v="50"/>
    <x v="19"/>
    <n v="90"/>
    <x v="3"/>
    <x v="2"/>
    <s v="Company Website"/>
    <s v="Mid_Level"/>
    <x v="1"/>
    <x v="0"/>
    <s v="Normal Review"/>
    <n v="0.08"/>
    <n v="32614.799999999999"/>
    <n v="551187.80000000005"/>
    <n v="320000"/>
    <n v="549999"/>
    <n v="0.08"/>
    <s v="Correct Band"/>
  </r>
  <r>
    <x v="23"/>
    <s v="Janet"/>
    <s v="Umeh"/>
    <s v="janet.umeh@northstar-group.com"/>
    <x v="2"/>
    <s v="Supply Planner"/>
    <x v="2"/>
    <d v="2023-05-05T00:00:00"/>
    <d v="1994-10-07T00:00:00"/>
    <x v="0"/>
    <x v="2"/>
    <s v="Senior"/>
    <x v="23"/>
    <n v="82209"/>
    <n v="53"/>
    <x v="20"/>
    <n v="58"/>
    <x v="10"/>
    <x v="0"/>
    <s v="Indeed"/>
    <s v="Senior"/>
    <x v="1"/>
    <x v="1"/>
    <s v="Normal Review"/>
    <n v="0.12"/>
    <n v="86986.8"/>
    <n v="894085.8"/>
    <n v="550000"/>
    <n v="999999"/>
    <n v="0.12"/>
    <s v="Correct Band"/>
  </r>
  <r>
    <x v="24"/>
    <s v="Paul"/>
    <s v="Smith"/>
    <s v="paul.smith@northstar-group.com"/>
    <x v="3"/>
    <s v="Data Analyst"/>
    <x v="3"/>
    <d v="2025-12-20T00:00:00"/>
    <d v="1992-01-24T00:00:00"/>
    <x v="0"/>
    <x v="0"/>
    <s v="Junior"/>
    <x v="24"/>
    <n v="17815"/>
    <n v="53"/>
    <x v="21"/>
    <n v="98"/>
    <x v="1"/>
    <x v="2"/>
    <s v="LinkedIn"/>
    <s v="Junior"/>
    <x v="1"/>
    <x v="1"/>
    <s v="Normal Review"/>
    <n v="0.05"/>
    <n v="13295.45"/>
    <n v="297019.45"/>
    <n v="180000"/>
    <n v="319999"/>
    <n v="0.05"/>
    <s v="Correct Band"/>
  </r>
  <r>
    <x v="25"/>
    <s v="Mercy"/>
    <s v="Williams"/>
    <s v="mercy.williams@northstar-group.com"/>
    <x v="4"/>
    <s v="HR Associate"/>
    <x v="4"/>
    <d v="2022-10-10T00:00:00"/>
    <d v="2010-12-21T00:00:00"/>
    <x v="0"/>
    <x v="0"/>
    <s v="Mid-Level"/>
    <x v="25"/>
    <n v="148170"/>
    <n v="88"/>
    <x v="20"/>
    <n v="88"/>
    <x v="11"/>
    <x v="1"/>
    <s v="Company Website"/>
    <s v="Mid_Level"/>
    <x v="0"/>
    <x v="1"/>
    <s v="Normal Review"/>
    <n v="0.08"/>
    <n v="37973.440000000002"/>
    <n v="660811.43999999994"/>
    <n v="320000"/>
    <n v="549999"/>
    <n v="0.08"/>
    <s v="Correct Band"/>
  </r>
  <r>
    <x v="26"/>
    <s v="Kevin"/>
    <s v="Johnson"/>
    <s v="kevin.johnson@northstar-group.com"/>
    <x v="5"/>
    <s v="Marketing Analyst"/>
    <x v="5"/>
    <d v="2023-07-15T00:00:00"/>
    <d v="1995-09-16T00:00:00"/>
    <x v="0"/>
    <x v="0"/>
    <s v="Senior"/>
    <x v="26"/>
    <n v="82883"/>
    <n v="66"/>
    <x v="5"/>
    <n v="59"/>
    <x v="10"/>
    <x v="2"/>
    <s v="Recruitment Agency"/>
    <s v="Senior"/>
    <x v="1"/>
    <x v="1"/>
    <s v="Normal Review"/>
    <n v="0.12"/>
    <n v="94533.84"/>
    <n v="965198.84"/>
    <n v="550000"/>
    <n v="999999"/>
    <n v="0.12"/>
    <s v="Correct Band"/>
  </r>
  <r>
    <x v="27"/>
    <s v="Ada"/>
    <s v="Brown"/>
    <s v="ada.brown@northstar-group.com"/>
    <x v="6"/>
    <s v="Support Specialist"/>
    <x v="6"/>
    <d v="2021-02-18T00:00:00"/>
    <d v="1988-04-15T00:00:00"/>
    <x v="0"/>
    <x v="0"/>
    <s v="Junior"/>
    <x v="27"/>
    <n v="91490"/>
    <n v="84"/>
    <x v="22"/>
    <n v="59"/>
    <x v="1"/>
    <x v="1"/>
    <s v="Referral"/>
    <s v="Junior"/>
    <x v="0"/>
    <x v="1"/>
    <s v="Normal Review"/>
    <n v="0.05"/>
    <n v="13689.6"/>
    <n v="378971.6"/>
    <n v="180000"/>
    <n v="319999"/>
    <n v="0.05"/>
    <s v="Correct Band"/>
  </r>
  <r>
    <x v="28"/>
    <s v="Joseph"/>
    <s v="Okafor"/>
    <s v="joseph.okafor@northstar-group.com"/>
    <x v="0"/>
    <s v="Sales Associate"/>
    <x v="0"/>
    <d v="2024-12-04T00:00:00"/>
    <d v="2009-05-15T00:00:00"/>
    <x v="0"/>
    <x v="2"/>
    <s v="Mid-Level"/>
    <x v="28"/>
    <n v="145385"/>
    <n v="95"/>
    <x v="0"/>
    <n v="74"/>
    <x v="3"/>
    <x v="3"/>
    <s v="Company Website"/>
    <s v="Mid_Level"/>
    <x v="0"/>
    <x v="0"/>
    <s v="Review For Reward"/>
    <n v="0.08"/>
    <n v="33654.080000000002"/>
    <n v="599715.07999999996"/>
    <n v="320000"/>
    <n v="549999"/>
    <n v="0.08"/>
    <s v="Correct Band"/>
  </r>
  <r>
    <x v="29"/>
    <s v="Rose"/>
    <s v="Mensah"/>
    <s v="rose.mensah@northstar-group.com"/>
    <x v="1"/>
    <s v="Financial Analyst"/>
    <x v="1"/>
    <d v="2021-04-22T00:00:00"/>
    <d v="1989-10-20T00:00:00"/>
    <x v="0"/>
    <x v="0"/>
    <s v="Senior"/>
    <x v="29"/>
    <n v="55215"/>
    <n v="97"/>
    <x v="13"/>
    <n v="76"/>
    <x v="1"/>
    <x v="1"/>
    <s v="Recruitment Agency"/>
    <s v="Senior"/>
    <x v="1"/>
    <x v="1"/>
    <s v="Normal Review"/>
    <n v="0.12"/>
    <n v="88159.679999999993"/>
    <n v="878038.67999999993"/>
    <n v="550000"/>
    <n v="999999"/>
    <n v="0.12"/>
    <s v="Correct Band"/>
  </r>
  <r>
    <x v="30"/>
    <s v="Aisha"/>
    <s v="Adeyemi"/>
    <s v="aisha.adeyemi@northstar-group.com"/>
    <x v="2"/>
    <s v="Operations Associate"/>
    <x v="2"/>
    <d v="2022-10-30T00:00:00"/>
    <d v="1987-04-13T00:00:00"/>
    <x v="0"/>
    <x v="0"/>
    <s v="Junior"/>
    <x v="30"/>
    <n v="929"/>
    <n v="55"/>
    <x v="23"/>
    <n v="76"/>
    <x v="8"/>
    <x v="1"/>
    <s v="Referral"/>
    <s v="Junior"/>
    <x v="1"/>
    <x v="0"/>
    <s v="Normal Review"/>
    <n v="0.05"/>
    <n v="13201.6"/>
    <n v="278162.59999999998"/>
    <n v="180000"/>
    <n v="319999"/>
    <n v="0.05"/>
    <s v="Correct Band"/>
  </r>
  <r>
    <x v="31"/>
    <s v="Daniel"/>
    <s v="Bello"/>
    <s v="daniel.bello@northstar-group.com"/>
    <x v="3"/>
    <s v="Systems Analyst"/>
    <x v="3"/>
    <d v="2024-12-19T00:00:00"/>
    <d v="2009-09-30T00:00:00"/>
    <x v="0"/>
    <x v="0"/>
    <s v="Mid-Level"/>
    <x v="31"/>
    <n v="19724"/>
    <n v="95"/>
    <x v="24"/>
    <n v="64"/>
    <x v="5"/>
    <x v="3"/>
    <s v="Referral"/>
    <s v="Mid_Level"/>
    <x v="1"/>
    <x v="0"/>
    <s v="Review For Reward"/>
    <n v="0.08"/>
    <n v="33694.239999999998"/>
    <n v="474596.24"/>
    <n v="320000"/>
    <n v="549999"/>
    <n v="0.08"/>
    <s v="Correct Band"/>
  </r>
  <r>
    <x v="32"/>
    <s v="Grace"/>
    <s v="Eze"/>
    <s v="grace.eze@northstar-group.com"/>
    <x v="4"/>
    <s v="HR Analyst"/>
    <x v="4"/>
    <d v="2026-03-18T00:00:00"/>
    <d v="1991-08-24T00:00:00"/>
    <x v="0"/>
    <x v="0"/>
    <s v="Senior"/>
    <x v="32"/>
    <n v="10458"/>
    <n v="77"/>
    <x v="21"/>
    <n v="77"/>
    <x v="1"/>
    <x v="1"/>
    <s v="LinkedIn"/>
    <s v="Senior"/>
    <x v="0"/>
    <x v="1"/>
    <s v="Normal Review"/>
    <n v="0.12"/>
    <n v="93162"/>
    <n v="879970"/>
    <n v="550000"/>
    <n v="999999"/>
    <n v="0.12"/>
    <s v="Correct Band"/>
  </r>
  <r>
    <x v="33"/>
    <s v="Michael"/>
    <s v="Okoro"/>
    <s v="michael.okoro@northstar-group.com"/>
    <x v="5"/>
    <s v="Marketing Analyst"/>
    <x v="5"/>
    <d v="2026-04-17T00:00:00"/>
    <d v="2003-03-26T00:00:00"/>
    <x v="0"/>
    <x v="0"/>
    <s v="Junior"/>
    <x v="33"/>
    <n v="108080"/>
    <n v="89"/>
    <x v="25"/>
    <n v="56"/>
    <x v="6"/>
    <x v="1"/>
    <s v="Indeed"/>
    <s v="Junior"/>
    <x v="0"/>
    <x v="1"/>
    <s v="Normal Review"/>
    <n v="0.05"/>
    <n v="12317.85"/>
    <n v="366754.85"/>
    <n v="180000"/>
    <n v="319999"/>
    <n v="0.05"/>
    <s v="Correct Band"/>
  </r>
  <r>
    <x v="34"/>
    <s v="Chiamaka"/>
    <s v="Ibrahim"/>
    <s v="chiamaka.ibrahim@northstar-group.com"/>
    <x v="6"/>
    <s v="Customer Success Analyst"/>
    <x v="6"/>
    <d v="2022-10-18T00:00:00"/>
    <d v="1996-12-20T00:00:00"/>
    <x v="1"/>
    <x v="0"/>
    <s v="Mid-Level"/>
    <x v="34"/>
    <n v="123388"/>
    <n v="60"/>
    <x v="26"/>
    <n v="69"/>
    <x v="1"/>
    <x v="2"/>
    <s v="Referral"/>
    <s v="Mid_Level"/>
    <x v="1"/>
    <x v="1"/>
    <s v="Normal Review"/>
    <n v="0.08"/>
    <n v="39024.480000000003"/>
    <n v="650218.48"/>
    <n v="320000"/>
    <n v="549999"/>
    <n v="0.08"/>
    <s v="Correct Band"/>
  </r>
  <r>
    <x v="35"/>
    <s v="David"/>
    <s v="Adebayo"/>
    <s v="david.adebayo@northstar-group.com"/>
    <x v="0"/>
    <s v="Sales Analyst"/>
    <x v="0"/>
    <d v="2022-07-26T00:00:00"/>
    <d v="1995-01-01T00:00:00"/>
    <x v="1"/>
    <x v="0"/>
    <s v="Senior"/>
    <x v="35"/>
    <n v="73034"/>
    <n v="51"/>
    <x v="27"/>
    <n v="59"/>
    <x v="8"/>
    <x v="1"/>
    <s v="Referral"/>
    <s v="Senior"/>
    <x v="1"/>
    <x v="0"/>
    <s v="Normal Review"/>
    <n v="0.12"/>
    <n v="88800.12"/>
    <n v="901835.12"/>
    <n v="550000"/>
    <n v="999999"/>
    <n v="0.12"/>
    <s v="Correct Band"/>
  </r>
  <r>
    <x v="36"/>
    <s v="Sarah"/>
    <s v="Nwosu"/>
    <s v="sarah.nwosu@northstar-group.com"/>
    <x v="1"/>
    <s v="Accountant"/>
    <x v="1"/>
    <d v="2025-09-22T00:00:00"/>
    <d v="2002-12-06T00:00:00"/>
    <x v="0"/>
    <x v="0"/>
    <s v="Junior"/>
    <x v="36"/>
    <n v="68475"/>
    <n v="93"/>
    <x v="28"/>
    <n v="66"/>
    <x v="4"/>
    <x v="1"/>
    <s v="LinkedIn"/>
    <s v="Junior"/>
    <x v="1"/>
    <x v="0"/>
    <s v="Normal Review"/>
    <n v="0.05"/>
    <n v="14204"/>
    <n v="366759"/>
    <n v="180000"/>
    <n v="319999"/>
    <n v="0.05"/>
    <s v="Correct Band"/>
  </r>
  <r>
    <x v="37"/>
    <s v="James"/>
    <s v="Umeh"/>
    <s v="james.umeh@northstar-group.com"/>
    <x v="2"/>
    <s v="Operations Associate"/>
    <x v="2"/>
    <d v="2024-11-19T00:00:00"/>
    <d v="2000-07-04T00:00:00"/>
    <x v="0"/>
    <x v="0"/>
    <s v="Mid-Level"/>
    <x v="37"/>
    <n v="49828"/>
    <n v="96"/>
    <x v="29"/>
    <n v="71"/>
    <x v="10"/>
    <x v="2"/>
    <s v="LinkedIn"/>
    <s v="Mid_Level"/>
    <x v="0"/>
    <x v="1"/>
    <s v="Normal Review"/>
    <n v="0.08"/>
    <n v="33136.639999999999"/>
    <n v="497172.64"/>
    <n v="320000"/>
    <n v="549999"/>
    <n v="0.08"/>
    <s v="Correct Band"/>
  </r>
  <r>
    <x v="38"/>
    <s v="Blessing"/>
    <s v="Smith"/>
    <s v="blessing.smith@northstar-group.com"/>
    <x v="3"/>
    <s v="Data Analyst"/>
    <x v="3"/>
    <d v="2026-01-19T00:00:00"/>
    <d v="2015-10-24T00:00:00"/>
    <x v="0"/>
    <x v="0"/>
    <s v="Senior"/>
    <x v="38"/>
    <n v="18343"/>
    <n v="96"/>
    <x v="30"/>
    <n v="97"/>
    <x v="11"/>
    <x v="0"/>
    <s v="Referral"/>
    <s v="Senior"/>
    <x v="1"/>
    <x v="1"/>
    <s v="Normal Review"/>
    <n v="0.12"/>
    <n v="92177.51999999999"/>
    <n v="878666.52"/>
    <n v="550000"/>
    <n v="999999"/>
    <n v="0.12"/>
    <s v="Correct Band"/>
  </r>
  <r>
    <x v="39"/>
    <s v="Victor"/>
    <s v="Williams"/>
    <s v="victor.williams@northstar-group.com"/>
    <x v="4"/>
    <s v="Recruitment Specialist"/>
    <x v="4"/>
    <d v="2021-05-30T00:00:00"/>
    <d v="2017-04-15T00:00:00"/>
    <x v="1"/>
    <x v="0"/>
    <s v="Junior"/>
    <x v="39"/>
    <n v="105486"/>
    <n v="69"/>
    <x v="31"/>
    <n v="73"/>
    <x v="5"/>
    <x v="1"/>
    <s v="Company Website"/>
    <s v="Junior"/>
    <x v="1"/>
    <x v="0"/>
    <s v="Normal Review"/>
    <n v="0.05"/>
    <n v="14347.550000000001"/>
    <n v="406784.55"/>
    <n v="180000"/>
    <n v="319999"/>
    <n v="0.05"/>
    <s v="Correct Band"/>
  </r>
  <r>
    <x v="40"/>
    <s v="John"/>
    <s v="Johnson"/>
    <s v="john.johnson@northstar-group.com"/>
    <x v="5"/>
    <s v="Digital Marketing Specialist"/>
    <x v="5"/>
    <d v="2024-04-06T00:00:00"/>
    <d v="2015-05-21T00:00:00"/>
    <x v="0"/>
    <x v="0"/>
    <s v="Mid-Level"/>
    <x v="40"/>
    <n v="143638"/>
    <n v="97"/>
    <x v="32"/>
    <n v="55"/>
    <x v="12"/>
    <x v="1"/>
    <s v="Company Website"/>
    <s v="Mid_Level"/>
    <x v="0"/>
    <x v="1"/>
    <s v="Normal Review"/>
    <n v="0.08"/>
    <n v="36408.639999999999"/>
    <n v="635154.64"/>
    <n v="320000"/>
    <n v="549999"/>
    <n v="0.08"/>
    <s v="Correct Band"/>
  </r>
  <r>
    <x v="41"/>
    <s v="Mary"/>
    <s v="Brown"/>
    <s v="mary.brown@northstar-group.com"/>
    <x v="6"/>
    <s v="Customer Success Associate"/>
    <x v="6"/>
    <d v="2026-07-08T00:00:00"/>
    <d v="2012-03-19T00:00:00"/>
    <x v="1"/>
    <x v="0"/>
    <s v="Senior"/>
    <x v="41"/>
    <n v="56020"/>
    <n v="91"/>
    <x v="6"/>
    <n v="87"/>
    <x v="9"/>
    <x v="1"/>
    <s v="LinkedIn"/>
    <s v="Senior"/>
    <x v="0"/>
    <x v="1"/>
    <s v="Normal Review"/>
    <n v="0.12"/>
    <n v="90761.51999999999"/>
    <n v="903127.52"/>
    <n v="550000"/>
    <n v="999999"/>
    <n v="0.12"/>
    <s v="Correct Band"/>
  </r>
  <r>
    <x v="42"/>
    <s v="Peter"/>
    <s v="Okafor"/>
    <s v="peter.okafor@northstar-group.com"/>
    <x v="0"/>
    <s v="Account Executive"/>
    <x v="0"/>
    <d v="2025-10-17T00:00:00"/>
    <d v="2014-10-12T00:00:00"/>
    <x v="0"/>
    <x v="0"/>
    <s v="Junior"/>
    <x v="42"/>
    <n v="81374"/>
    <n v="90"/>
    <x v="33"/>
    <n v="69"/>
    <x v="8"/>
    <x v="1"/>
    <s v="Company Website"/>
    <s v="Junior"/>
    <x v="1"/>
    <x v="0"/>
    <s v="Normal Review"/>
    <n v="0.05"/>
    <n v="11859.800000000001"/>
    <n v="330429.8"/>
    <n v="180000"/>
    <n v="319999"/>
    <n v="0.05"/>
    <s v="Correct Band"/>
  </r>
  <r>
    <x v="43"/>
    <s v="Esther"/>
    <s v="Mensah"/>
    <s v="esther.mensah@northstar-group.com"/>
    <x v="1"/>
    <s v="Financial Analyst"/>
    <x v="1"/>
    <d v="2020-07-13T00:00:00"/>
    <d v="1995-12-26T00:00:00"/>
    <x v="1"/>
    <x v="0"/>
    <s v="Mid-Level"/>
    <x v="43"/>
    <n v="50970"/>
    <n v="80"/>
    <x v="34"/>
    <n v="79"/>
    <x v="9"/>
    <x v="2"/>
    <s v="Company Website"/>
    <s v="Mid_Level"/>
    <x v="1"/>
    <x v="1"/>
    <s v="Normal Review"/>
    <n v="0.08"/>
    <n v="32256.080000000002"/>
    <n v="486427.08"/>
    <n v="320000"/>
    <n v="549999"/>
    <n v="0.08"/>
    <s v="Correct Band"/>
  </r>
  <r>
    <x v="44"/>
    <s v="Ifeoma"/>
    <s v="Adeyemi"/>
    <s v="ifeoma.adeyemi@northstar-group.com"/>
    <x v="2"/>
    <s v="Operations Analyst"/>
    <x v="2"/>
    <d v="2020-01-28T00:00:00"/>
    <d v="1989-10-13T00:00:00"/>
    <x v="0"/>
    <x v="2"/>
    <s v="Senior"/>
    <x v="44"/>
    <n v="135779"/>
    <n v="99"/>
    <x v="35"/>
    <n v="84"/>
    <x v="10"/>
    <x v="0"/>
    <s v="Company Website"/>
    <s v="Senior"/>
    <x v="1"/>
    <x v="1"/>
    <s v="Normal Review"/>
    <n v="0.12"/>
    <n v="86321.04"/>
    <n v="941442.04"/>
    <n v="550000"/>
    <n v="999999"/>
    <n v="0.12"/>
    <s v="Correct Band"/>
  </r>
  <r>
    <x v="45"/>
    <s v="Samuel"/>
    <s v="Bello"/>
    <s v="samuel.bello@northstar-group.com"/>
    <x v="3"/>
    <s v="Systems Analyst"/>
    <x v="3"/>
    <d v="2025-02-17T00:00:00"/>
    <d v="1990-12-25T00:00:00"/>
    <x v="0"/>
    <x v="0"/>
    <s v="Junior"/>
    <x v="45"/>
    <n v="132324"/>
    <n v="79"/>
    <x v="36"/>
    <n v="82"/>
    <x v="5"/>
    <x v="2"/>
    <s v="Company Website"/>
    <s v="Junior"/>
    <x v="1"/>
    <x v="0"/>
    <s v="Normal Review"/>
    <n v="0.05"/>
    <n v="10795.300000000001"/>
    <n v="359025.3"/>
    <n v="180000"/>
    <n v="319999"/>
    <n v="0.05"/>
    <s v="Correct Band"/>
  </r>
  <r>
    <x v="46"/>
    <s v="Ruth"/>
    <s v="Eze"/>
    <s v="ruth.eze@northstar-group.com"/>
    <x v="4"/>
    <s v="HR Associate"/>
    <x v="4"/>
    <d v="2025-05-03T00:00:00"/>
    <d v="2005-03-10T00:00:00"/>
    <x v="0"/>
    <x v="1"/>
    <s v="Mid-Level"/>
    <x v="46"/>
    <n v="127034"/>
    <n v="66"/>
    <x v="37"/>
    <n v="95"/>
    <x v="1"/>
    <x v="1"/>
    <s v="Indeed"/>
    <s v="Mid_Level"/>
    <x v="0"/>
    <x v="1"/>
    <s v="Normal Review"/>
    <n v="0.08"/>
    <n v="39797.760000000002"/>
    <n v="664303.76"/>
    <n v="320000"/>
    <n v="549999"/>
    <n v="0.08"/>
    <s v="Correct Band"/>
  </r>
  <r>
    <x v="47"/>
    <s v="Emeka"/>
    <s v="Okoro"/>
    <s v="emeka.okoro@northstar-group.com"/>
    <x v="5"/>
    <s v="Marketing Coordinator"/>
    <x v="5"/>
    <d v="2023-03-21T00:00:00"/>
    <d v="1995-07-09T00:00:00"/>
    <x v="0"/>
    <x v="0"/>
    <s v="Senior"/>
    <x v="47"/>
    <n v="39539"/>
    <n v="67"/>
    <x v="38"/>
    <n v="69"/>
    <x v="7"/>
    <x v="1"/>
    <s v="Company Website"/>
    <s v="Senior"/>
    <x v="1"/>
    <x v="1"/>
    <s v="Normal Review"/>
    <n v="0.12"/>
    <n v="85218.599999999991"/>
    <n v="834912.6"/>
    <n v="550000"/>
    <n v="999999"/>
    <n v="0.12"/>
    <s v="Correct Band"/>
  </r>
  <r>
    <x v="48"/>
    <s v="Linda"/>
    <s v="Ibrahim"/>
    <s v="linda.ibrahim@northstar-group.com"/>
    <x v="6"/>
    <s v="Customer Success Associate"/>
    <x v="6"/>
    <d v="2024-08-31T00:00:00"/>
    <d v="2003-04-15T00:00:00"/>
    <x v="1"/>
    <x v="0"/>
    <s v="Junior"/>
    <x v="48"/>
    <n v="54220"/>
    <n v="71"/>
    <x v="39"/>
    <n v="81"/>
    <x v="7"/>
    <x v="0"/>
    <s v="LinkedIn"/>
    <s v="Junior"/>
    <x v="1"/>
    <x v="1"/>
    <s v="Normal Review"/>
    <n v="0.05"/>
    <n v="10420.900000000001"/>
    <n v="273058.90000000002"/>
    <n v="180000"/>
    <n v="319999"/>
    <n v="0.05"/>
    <s v="Correct Band"/>
  </r>
  <r>
    <x v="49"/>
    <s v="Brian"/>
    <s v="Adebayo"/>
    <s v="brian.adebayo@northstar-group.com"/>
    <x v="0"/>
    <s v="Account Executive"/>
    <x v="0"/>
    <d v="2024-04-12T00:00:00"/>
    <d v="2006-05-25T00:00:00"/>
    <x v="1"/>
    <x v="0"/>
    <s v="Mid-Level"/>
    <x v="49"/>
    <n v="141091"/>
    <n v="50"/>
    <x v="15"/>
    <n v="89"/>
    <x v="8"/>
    <x v="0"/>
    <s v="Company Website"/>
    <s v="Mid_Level"/>
    <x v="1"/>
    <x v="0"/>
    <s v="Normal Review"/>
    <n v="0.08"/>
    <n v="38036.480000000003"/>
    <n v="654583.48"/>
    <n v="320000"/>
    <n v="549999"/>
    <n v="0.08"/>
    <s v="Correct Band"/>
  </r>
  <r>
    <x v="50"/>
    <s v="Tolu"/>
    <s v="Nwosu"/>
    <s v="tolu.nwosu@northstar-group.com"/>
    <x v="1"/>
    <s v="Financial Analyst"/>
    <x v="1"/>
    <d v="2022-06-22T00:00:00"/>
    <d v="1997-03-30T00:00:00"/>
    <x v="1"/>
    <x v="0"/>
    <s v="Senior"/>
    <x v="50"/>
    <n v="105989"/>
    <n v="77"/>
    <x v="32"/>
    <n v="65"/>
    <x v="9"/>
    <x v="1"/>
    <s v="Recruitment Agency"/>
    <s v="Senior"/>
    <x v="1"/>
    <x v="1"/>
    <s v="Normal Review"/>
    <n v="0.12"/>
    <n v="91679.16"/>
    <n v="961661.16"/>
    <n v="550000"/>
    <n v="999999"/>
    <n v="0.12"/>
    <s v="Correct Band"/>
  </r>
  <r>
    <x v="51"/>
    <s v="Ngozi"/>
    <s v="Umeh"/>
    <s v="ngozi.umeh@northstar-group.com"/>
    <x v="2"/>
    <s v="Supply Planner"/>
    <x v="2"/>
    <d v="2020-04-25T00:00:00"/>
    <d v="2002-09-04T00:00:00"/>
    <x v="0"/>
    <x v="0"/>
    <s v="Junior"/>
    <x v="51"/>
    <n v="112358"/>
    <n v="87"/>
    <x v="40"/>
    <n v="63"/>
    <x v="9"/>
    <x v="1"/>
    <s v="LinkedIn"/>
    <s v="Junior"/>
    <x v="1"/>
    <x v="1"/>
    <s v="Normal Review"/>
    <n v="0.05"/>
    <n v="13500.400000000001"/>
    <n v="395866.4"/>
    <n v="180000"/>
    <n v="319999"/>
    <n v="0.05"/>
    <s v="Correct Band"/>
  </r>
  <r>
    <x v="52"/>
    <s v="Henry"/>
    <s v="Smith"/>
    <s v="henry.smith@northstar-group.com"/>
    <x v="3"/>
    <s v="IT Support Specialist"/>
    <x v="3"/>
    <d v="2024-04-06T00:00:00"/>
    <d v="1999-09-08T00:00:00"/>
    <x v="0"/>
    <x v="0"/>
    <s v="Mid-Level"/>
    <x v="52"/>
    <n v="72943"/>
    <n v="63"/>
    <x v="41"/>
    <n v="81"/>
    <x v="12"/>
    <x v="3"/>
    <s v="Indeed"/>
    <s v="Mid_Level"/>
    <x v="1"/>
    <x v="1"/>
    <s v="Review For Reward"/>
    <n v="0.08"/>
    <n v="34727.919999999998"/>
    <n v="541769.92000000004"/>
    <n v="320000"/>
    <n v="549999"/>
    <n v="0.08"/>
    <s v="Correct Band"/>
  </r>
  <r>
    <x v="53"/>
    <s v="Janet"/>
    <s v="Williams"/>
    <s v="janet.williams@northstar-group.com"/>
    <x v="4"/>
    <s v="HR Associate"/>
    <x v="4"/>
    <d v="2026-01-23T00:00:00"/>
    <d v="1987-05-04T00:00:00"/>
    <x v="0"/>
    <x v="2"/>
    <s v="Senior"/>
    <x v="53"/>
    <n v="10553"/>
    <n v="72"/>
    <x v="16"/>
    <n v="56"/>
    <x v="1"/>
    <x v="1"/>
    <s v="LinkedIn"/>
    <s v="Senior"/>
    <x v="0"/>
    <x v="1"/>
    <s v="Normal Review"/>
    <n v="0.12"/>
    <n v="84304.8"/>
    <n v="797397.8"/>
    <n v="550000"/>
    <n v="999999"/>
    <n v="0.12"/>
    <s v="Correct Band"/>
  </r>
  <r>
    <x v="54"/>
    <s v="Paul"/>
    <s v="Johnson"/>
    <s v="paul.johnson@northstar-group.com"/>
    <x v="5"/>
    <s v="Digital Marketing Specialist"/>
    <x v="5"/>
    <d v="2021-09-21T00:00:00"/>
    <d v="1995-09-14T00:00:00"/>
    <x v="0"/>
    <x v="1"/>
    <s v="Junior"/>
    <x v="54"/>
    <n v="57138"/>
    <n v="58"/>
    <x v="38"/>
    <n v="84"/>
    <x v="0"/>
    <x v="1"/>
    <s v="Referral"/>
    <s v="Junior"/>
    <x v="1"/>
    <x v="0"/>
    <s v="Normal Review"/>
    <n v="0.05"/>
    <n v="14071.95"/>
    <n v="352648.95"/>
    <n v="180000"/>
    <n v="319999"/>
    <n v="0.05"/>
    <s v="Correct Band"/>
  </r>
  <r>
    <x v="55"/>
    <s v="Mercy"/>
    <s v="Brown"/>
    <s v="mercy.brown@northstar-group.com"/>
    <x v="6"/>
    <s v="Support Specialist"/>
    <x v="6"/>
    <d v="2021-04-19T00:00:00"/>
    <d v="1992-05-07T00:00:00"/>
    <x v="0"/>
    <x v="0"/>
    <s v="Mid-Level"/>
    <x v="55"/>
    <n v="98384"/>
    <n v="69"/>
    <x v="42"/>
    <n v="80"/>
    <x v="0"/>
    <x v="1"/>
    <s v="LinkedIn"/>
    <s v="Mid_Level"/>
    <x v="0"/>
    <x v="0"/>
    <s v="Normal Review"/>
    <n v="0.08"/>
    <n v="33759.360000000001"/>
    <n v="554135.36"/>
    <n v="320000"/>
    <n v="549999"/>
    <n v="0.08"/>
    <s v="Correct Band"/>
  </r>
  <r>
    <x v="56"/>
    <s v="Kevin"/>
    <s v="Okafor"/>
    <s v="kevin.okafor@northstar-group.com"/>
    <x v="0"/>
    <s v="Sales Associate"/>
    <x v="0"/>
    <d v="2022-09-26T00:00:00"/>
    <d v="1989-07-28T00:00:00"/>
    <x v="0"/>
    <x v="1"/>
    <s v="Senior"/>
    <x v="56"/>
    <n v="10766"/>
    <n v="94"/>
    <x v="43"/>
    <n v="77"/>
    <x v="5"/>
    <x v="2"/>
    <s v="Referral"/>
    <s v="Senior"/>
    <x v="0"/>
    <x v="0"/>
    <s v="Normal Review"/>
    <n v="0.12"/>
    <n v="93312.84"/>
    <n v="881685.84"/>
    <n v="550000"/>
    <n v="999999"/>
    <n v="0.12"/>
    <s v="Correct Band"/>
  </r>
  <r>
    <x v="57"/>
    <s v="Ada"/>
    <s v="Mensah"/>
    <s v="ada.mensah@northstar-group.com"/>
    <x v="1"/>
    <s v="Accountant"/>
    <x v="1"/>
    <d v="2025-09-08T00:00:00"/>
    <d v="2014-01-18T00:00:00"/>
    <x v="1"/>
    <x v="0"/>
    <s v="Junior"/>
    <x v="57"/>
    <n v="113645"/>
    <n v="71"/>
    <x v="44"/>
    <n v="78"/>
    <x v="3"/>
    <x v="2"/>
    <s v="Company Website"/>
    <s v="Junior"/>
    <x v="0"/>
    <x v="0"/>
    <s v="Normal Review"/>
    <n v="0.05"/>
    <n v="10451.900000000001"/>
    <n v="333134.90000000002"/>
    <n v="180000"/>
    <n v="319999"/>
    <n v="0.05"/>
    <s v="Correct Band"/>
  </r>
  <r>
    <x v="58"/>
    <s v="Joseph"/>
    <s v="Adeyemi"/>
    <s v="joseph.adeyemi@northstar-group.com"/>
    <x v="2"/>
    <s v="Supply Planner"/>
    <x v="2"/>
    <d v="2021-12-27T00:00:00"/>
    <d v="2008-05-28T00:00:00"/>
    <x v="1"/>
    <x v="0"/>
    <s v="Mid-Level"/>
    <x v="58"/>
    <n v="114183"/>
    <n v="91"/>
    <x v="32"/>
    <n v="92"/>
    <x v="12"/>
    <x v="1"/>
    <s v="Company Website"/>
    <s v="Mid_Level"/>
    <x v="0"/>
    <x v="1"/>
    <s v="Normal Review"/>
    <n v="0.08"/>
    <n v="36566.400000000001"/>
    <n v="607829.4"/>
    <n v="320000"/>
    <n v="549999"/>
    <n v="0.08"/>
    <s v="Correct Band"/>
  </r>
  <r>
    <x v="59"/>
    <s v="Rose"/>
    <s v="Bello"/>
    <s v="rose.bello@northstar-group.com"/>
    <x v="3"/>
    <s v="Systems Analyst"/>
    <x v="3"/>
    <d v="2023-02-21T00:00:00"/>
    <d v="2005-03-22T00:00:00"/>
    <x v="1"/>
    <x v="0"/>
    <s v="Senior"/>
    <x v="59"/>
    <n v="7523"/>
    <n v="65"/>
    <x v="3"/>
    <n v="86"/>
    <x v="11"/>
    <x v="1"/>
    <s v="Indeed"/>
    <s v="Senior"/>
    <x v="1"/>
    <x v="1"/>
    <s v="Normal Review"/>
    <n v="0.12"/>
    <n v="85363.08"/>
    <n v="804245.08"/>
    <n v="550000"/>
    <n v="999999"/>
    <n v="0.12"/>
    <s v="Correct Band"/>
  </r>
  <r>
    <x v="60"/>
    <s v="Aisha"/>
    <s v="Eze"/>
    <s v="aisha.eze@northstar-group.com"/>
    <x v="4"/>
    <s v="HR Associate"/>
    <x v="4"/>
    <d v="2023-12-29T00:00:00"/>
    <d v="1996-08-03T00:00:00"/>
    <x v="0"/>
    <x v="1"/>
    <s v="Junior"/>
    <x v="60"/>
    <n v="2661"/>
    <n v="71"/>
    <x v="38"/>
    <n v="88"/>
    <x v="1"/>
    <x v="3"/>
    <s v="Company Website"/>
    <s v="Junior"/>
    <x v="0"/>
    <x v="1"/>
    <s v="Review For Reward"/>
    <n v="0.05"/>
    <n v="11390.1"/>
    <n v="241853.1"/>
    <n v="180000"/>
    <n v="319999"/>
    <n v="0.05"/>
    <s v="Correct Band"/>
  </r>
  <r>
    <x v="61"/>
    <s v="Daniel"/>
    <s v="Okoro"/>
    <s v="daniel.okoro@northstar-group.com"/>
    <x v="5"/>
    <s v="Digital Marketing Specialist"/>
    <x v="5"/>
    <d v="2024-07-27T00:00:00"/>
    <d v="2006-12-01T00:00:00"/>
    <x v="1"/>
    <x v="2"/>
    <s v="Mid-Level"/>
    <x v="61"/>
    <n v="128665"/>
    <n v="85"/>
    <x v="45"/>
    <n v="83"/>
    <x v="8"/>
    <x v="3"/>
    <s v="LinkedIn"/>
    <s v="Mid_Level"/>
    <x v="0"/>
    <x v="0"/>
    <s v="Review For Reward"/>
    <n v="0.08"/>
    <n v="39550.480000000003"/>
    <n v="662596.48"/>
    <n v="320000"/>
    <n v="549999"/>
    <n v="0.08"/>
    <s v="Correct Band"/>
  </r>
  <r>
    <x v="62"/>
    <s v="Grace"/>
    <s v="Ibrahim"/>
    <s v="grace.ibrahim@northstar-group.com"/>
    <x v="6"/>
    <s v="Customer Success Associate"/>
    <x v="6"/>
    <d v="2022-07-01T00:00:00"/>
    <d v="2003-02-21T00:00:00"/>
    <x v="0"/>
    <x v="0"/>
    <s v="Senior"/>
    <x v="62"/>
    <n v="145089"/>
    <n v="94"/>
    <x v="46"/>
    <n v="88"/>
    <x v="11"/>
    <x v="2"/>
    <s v="Recruitment Agency"/>
    <s v="Senior"/>
    <x v="0"/>
    <x v="1"/>
    <s v="Normal Review"/>
    <n v="0.12"/>
    <n v="88627.92"/>
    <n v="972282.92"/>
    <n v="550000"/>
    <n v="999999"/>
    <n v="0.12"/>
    <s v="Correct Band"/>
  </r>
  <r>
    <x v="63"/>
    <s v="Michael"/>
    <s v="Adebayo"/>
    <s v="michael.adebayo@northstar-group.com"/>
    <x v="0"/>
    <s v="Account Executive"/>
    <x v="0"/>
    <d v="2023-12-17T00:00:00"/>
    <d v="2016-07-12T00:00:00"/>
    <x v="0"/>
    <x v="0"/>
    <s v="Junior"/>
    <x v="63"/>
    <n v="31629"/>
    <n v="79"/>
    <x v="11"/>
    <n v="67"/>
    <x v="11"/>
    <x v="3"/>
    <s v="Recruitment Agency"/>
    <s v="Junior"/>
    <x v="0"/>
    <x v="1"/>
    <s v="Review For Reward"/>
    <n v="0.05"/>
    <n v="12167.85"/>
    <n v="287153.84999999998"/>
    <n v="180000"/>
    <n v="319999"/>
    <n v="0.05"/>
    <s v="Correct Band"/>
  </r>
  <r>
    <x v="64"/>
    <s v="Chiamaka"/>
    <s v="Nwosu"/>
    <s v="chiamaka.nwosu@northstar-group.com"/>
    <x v="1"/>
    <s v="Accountant"/>
    <x v="1"/>
    <d v="2022-02-02T00:00:00"/>
    <d v="1993-08-05T00:00:00"/>
    <x v="0"/>
    <x v="0"/>
    <s v="Mid-Level"/>
    <x v="64"/>
    <n v="50886"/>
    <n v="63"/>
    <x v="27"/>
    <n v="73"/>
    <x v="1"/>
    <x v="1"/>
    <s v="Company Website"/>
    <s v="Mid_Level"/>
    <x v="1"/>
    <x v="1"/>
    <s v="Normal Review"/>
    <n v="0.08"/>
    <n v="39992.080000000002"/>
    <n v="590779.07999999996"/>
    <n v="320000"/>
    <n v="549999"/>
    <n v="0.08"/>
    <s v="Correct Band"/>
  </r>
  <r>
    <x v="65"/>
    <s v="David"/>
    <s v="Umeh"/>
    <s v="david.umeh@northstar-group.com"/>
    <x v="2"/>
    <s v="Operations Associate"/>
    <x v="2"/>
    <d v="2020-03-03T00:00:00"/>
    <d v="2016-10-05T00:00:00"/>
    <x v="0"/>
    <x v="0"/>
    <s v="Senior"/>
    <x v="65"/>
    <n v="145059"/>
    <n v="84"/>
    <x v="41"/>
    <n v="73"/>
    <x v="0"/>
    <x v="1"/>
    <s v="Indeed"/>
    <s v="Senior"/>
    <x v="0"/>
    <x v="0"/>
    <s v="Normal Review"/>
    <n v="0.12"/>
    <n v="88754.16"/>
    <n v="973431.16"/>
    <n v="550000"/>
    <n v="999999"/>
    <n v="0.12"/>
    <s v="Correct Band"/>
  </r>
  <r>
    <x v="66"/>
    <s v="Sarah"/>
    <s v="Smith"/>
    <s v="sarah.smith@northstar-group.com"/>
    <x v="3"/>
    <s v="IT Support Specialist"/>
    <x v="3"/>
    <d v="2020-02-25T00:00:00"/>
    <d v="2010-10-02T00:00:00"/>
    <x v="1"/>
    <x v="0"/>
    <s v="Junior"/>
    <x v="66"/>
    <n v="48329"/>
    <n v="68"/>
    <x v="25"/>
    <n v="58"/>
    <x v="12"/>
    <x v="2"/>
    <s v="LinkedIn"/>
    <s v="Junior"/>
    <x v="1"/>
    <x v="1"/>
    <s v="Normal Review"/>
    <n v="0.05"/>
    <n v="10672.300000000001"/>
    <n v="272447.3"/>
    <n v="180000"/>
    <n v="319999"/>
    <n v="0.05"/>
    <s v="Correct Band"/>
  </r>
  <r>
    <x v="67"/>
    <s v="James"/>
    <s v="Williams"/>
    <s v="james.williams@northstar-group.com"/>
    <x v="4"/>
    <s v="HR Associate"/>
    <x v="4"/>
    <d v="2024-07-04T00:00:00"/>
    <d v="2007-01-22T00:00:00"/>
    <x v="0"/>
    <x v="0"/>
    <s v="Mid-Level"/>
    <x v="67"/>
    <n v="39111"/>
    <n v="54"/>
    <x v="20"/>
    <n v="91"/>
    <x v="12"/>
    <x v="3"/>
    <s v="Company Website"/>
    <s v="Mid_Level"/>
    <x v="1"/>
    <x v="1"/>
    <s v="Review For Reward"/>
    <n v="0.08"/>
    <n v="32685.119999999999"/>
    <n v="480360.12"/>
    <n v="320000"/>
    <n v="549999"/>
    <n v="0.08"/>
    <s v="Correct Band"/>
  </r>
  <r>
    <x v="68"/>
    <s v="Blessing"/>
    <s v="Johnson"/>
    <s v="blessing.johnson@northstar-group.com"/>
    <x v="5"/>
    <s v="Digital Marketing Specialist"/>
    <x v="5"/>
    <d v="2026-04-09T00:00:00"/>
    <d v="2003-09-02T00:00:00"/>
    <x v="0"/>
    <x v="1"/>
    <s v="Senior"/>
    <x v="68"/>
    <n v="99713"/>
    <n v="88"/>
    <x v="35"/>
    <n v="83"/>
    <x v="9"/>
    <x v="1"/>
    <s v="Recruitment Agency"/>
    <s v="Senior"/>
    <x v="1"/>
    <x v="1"/>
    <s v="Normal Review"/>
    <n v="0.12"/>
    <n v="85863"/>
    <n v="901101"/>
    <n v="550000"/>
    <n v="999999"/>
    <n v="0.12"/>
    <s v="Correct Band"/>
  </r>
  <r>
    <x v="69"/>
    <s v="Victor"/>
    <s v="Brown"/>
    <s v="victor.brown@northstar-group.com"/>
    <x v="6"/>
    <s v="Support Specialist"/>
    <x v="6"/>
    <d v="2023-06-09T00:00:00"/>
    <d v="2010-07-05T00:00:00"/>
    <x v="0"/>
    <x v="0"/>
    <s v="Junior"/>
    <x v="69"/>
    <n v="55318"/>
    <n v="89"/>
    <x v="41"/>
    <n v="71"/>
    <x v="3"/>
    <x v="3"/>
    <s v="Company Website"/>
    <s v="Junior"/>
    <x v="0"/>
    <x v="0"/>
    <s v="Review For Reward"/>
    <n v="0.05"/>
    <n v="12810.35"/>
    <n v="324335.34999999998"/>
    <n v="180000"/>
    <n v="319999"/>
    <n v="0.05"/>
    <s v="Correct Band"/>
  </r>
  <r>
    <x v="70"/>
    <s v="John"/>
    <s v="Okafor"/>
    <s v="john.okafor@northstar-group.com"/>
    <x v="0"/>
    <s v="Sales Analyst"/>
    <x v="0"/>
    <d v="2021-12-17T00:00:00"/>
    <d v="2009-10-05T00:00:00"/>
    <x v="1"/>
    <x v="0"/>
    <s v="Mid-Level"/>
    <x v="70"/>
    <n v="123184"/>
    <n v="54"/>
    <x v="47"/>
    <n v="73"/>
    <x v="10"/>
    <x v="1"/>
    <s v="Referral"/>
    <s v="Mid_Level"/>
    <x v="0"/>
    <x v="1"/>
    <s v="Normal Review"/>
    <n v="0.08"/>
    <n v="34515.120000000003"/>
    <n v="589138.12"/>
    <n v="320000"/>
    <n v="549999"/>
    <n v="0.08"/>
    <s v="Correct Band"/>
  </r>
  <r>
    <x v="71"/>
    <s v="Mary"/>
    <s v="Mensah"/>
    <s v="mary.mensah@northstar-group.com"/>
    <x v="1"/>
    <s v="Finance Associate"/>
    <x v="1"/>
    <d v="2023-03-09T00:00:00"/>
    <d v="2016-07-14T00:00:00"/>
    <x v="0"/>
    <x v="0"/>
    <s v="Senior"/>
    <x v="71"/>
    <n v="51857"/>
    <n v="79"/>
    <x v="48"/>
    <n v="82"/>
    <x v="2"/>
    <x v="0"/>
    <s v="Company Website"/>
    <s v="Senior"/>
    <x v="0"/>
    <x v="1"/>
    <s v="Normal Review"/>
    <n v="0.12"/>
    <n v="95119.44"/>
    <n v="939638.44"/>
    <n v="550000"/>
    <n v="999999"/>
    <n v="0.12"/>
    <s v="Correct Band"/>
  </r>
  <r>
    <x v="72"/>
    <s v="Peter"/>
    <s v="Adeyemi"/>
    <s v="peter.adeyemi@northstar-group.com"/>
    <x v="2"/>
    <s v="Operations Analyst"/>
    <x v="2"/>
    <d v="2021-09-07T00:00:00"/>
    <d v="1996-12-01T00:00:00"/>
    <x v="0"/>
    <x v="0"/>
    <s v="Junior"/>
    <x v="72"/>
    <n v="149214"/>
    <n v="59"/>
    <x v="49"/>
    <n v="73"/>
    <x v="9"/>
    <x v="3"/>
    <s v="Indeed"/>
    <s v="Junior"/>
    <x v="0"/>
    <x v="1"/>
    <s v="Review For Reward"/>
    <n v="0.05"/>
    <n v="14244.300000000001"/>
    <n v="448344.3"/>
    <n v="180000"/>
    <n v="319999"/>
    <n v="0.05"/>
    <s v="Correct Band"/>
  </r>
  <r>
    <x v="73"/>
    <s v="Esther"/>
    <s v="Bello"/>
    <s v="esther.bello@northstar-group.com"/>
    <x v="3"/>
    <s v="Systems Analyst"/>
    <x v="3"/>
    <d v="2023-06-04T00:00:00"/>
    <d v="2016-05-22T00:00:00"/>
    <x v="1"/>
    <x v="0"/>
    <s v="Mid-Level"/>
    <x v="73"/>
    <n v="21087"/>
    <n v="75"/>
    <x v="41"/>
    <n v="93"/>
    <x v="10"/>
    <x v="2"/>
    <s v="Referral"/>
    <s v="Mid_Level"/>
    <x v="0"/>
    <x v="1"/>
    <s v="Normal Review"/>
    <n v="0.08"/>
    <n v="39221.279999999999"/>
    <n v="550574.28"/>
    <n v="320000"/>
    <n v="549999"/>
    <n v="0.08"/>
    <s v="Correct Band"/>
  </r>
  <r>
    <x v="74"/>
    <s v="Ifeoma"/>
    <s v="Eze"/>
    <s v="ifeoma.eze@northstar-group.com"/>
    <x v="4"/>
    <s v="HR Associate"/>
    <x v="4"/>
    <d v="2022-10-27T00:00:00"/>
    <d v="1986-02-28T00:00:00"/>
    <x v="0"/>
    <x v="2"/>
    <s v="Senior"/>
    <x v="74"/>
    <n v="70650"/>
    <n v="55"/>
    <x v="50"/>
    <n v="91"/>
    <x v="10"/>
    <x v="1"/>
    <s v="Indeed"/>
    <s v="Senior"/>
    <x v="0"/>
    <x v="1"/>
    <s v="Normal Review"/>
    <n v="0.12"/>
    <n v="93495.48"/>
    <n v="943274.48"/>
    <n v="550000"/>
    <n v="999999"/>
    <n v="0.12"/>
    <s v="Correct Band"/>
  </r>
  <r>
    <x v="75"/>
    <s v="Samuel"/>
    <s v="Okoro"/>
    <s v="samuel.okoro@northstar-group.com"/>
    <x v="5"/>
    <s v="Marketing Coordinator"/>
    <x v="5"/>
    <d v="2024-12-21T00:00:00"/>
    <d v="1997-06-24T00:00:00"/>
    <x v="1"/>
    <x v="0"/>
    <s v="Junior"/>
    <x v="75"/>
    <n v="123210"/>
    <n v="61"/>
    <x v="25"/>
    <n v="77"/>
    <x v="7"/>
    <x v="1"/>
    <s v="Referral"/>
    <s v="Junior"/>
    <x v="1"/>
    <x v="1"/>
    <s v="Normal Review"/>
    <n v="0.05"/>
    <n v="13401.050000000001"/>
    <n v="404632.05"/>
    <n v="180000"/>
    <n v="319999"/>
    <n v="0.05"/>
    <s v="Correct Band"/>
  </r>
  <r>
    <x v="76"/>
    <s v="Ruth"/>
    <s v="Ibrahim"/>
    <s v="ruth.ibrahim@northstar-group.com"/>
    <x v="6"/>
    <s v="Support Specialist"/>
    <x v="6"/>
    <d v="2021-03-09T00:00:00"/>
    <d v="1992-03-19T00:00:00"/>
    <x v="1"/>
    <x v="0"/>
    <s v="Mid-Level"/>
    <x v="76"/>
    <n v="104976"/>
    <n v="71"/>
    <x v="22"/>
    <n v="90"/>
    <x v="10"/>
    <x v="2"/>
    <s v="LinkedIn"/>
    <s v="Mid_Level"/>
    <x v="1"/>
    <x v="1"/>
    <s v="Normal Review"/>
    <n v="0.08"/>
    <n v="39026.800000000003"/>
    <n v="631837.80000000005"/>
    <n v="320000"/>
    <n v="549999"/>
    <n v="0.08"/>
    <s v="Correct Band"/>
  </r>
  <r>
    <x v="77"/>
    <s v="Emeka"/>
    <s v="Adebayo"/>
    <s v="emeka.adebayo@northstar-group.com"/>
    <x v="0"/>
    <s v="Sales Associate"/>
    <x v="0"/>
    <d v="2022-11-04T00:00:00"/>
    <d v="1999-07-03T00:00:00"/>
    <x v="0"/>
    <x v="2"/>
    <s v="Senior"/>
    <x v="77"/>
    <n v="142237"/>
    <n v="57"/>
    <x v="51"/>
    <n v="84"/>
    <x v="7"/>
    <x v="3"/>
    <s v="Company Website"/>
    <s v="Senior"/>
    <x v="1"/>
    <x v="1"/>
    <s v="Review For Reward"/>
    <n v="0.12"/>
    <n v="88946.87999999999"/>
    <n v="972407.88"/>
    <n v="550000"/>
    <n v="999999"/>
    <n v="0.12"/>
    <s v="Correct Band"/>
  </r>
  <r>
    <x v="78"/>
    <s v="Linda"/>
    <s v="Nwosu"/>
    <s v="linda.nwosu@northstar-group.com"/>
    <x v="1"/>
    <s v="Finance Associate"/>
    <x v="1"/>
    <d v="2024-01-26T00:00:00"/>
    <d v="2012-12-06T00:00:00"/>
    <x v="1"/>
    <x v="0"/>
    <s v="Junior"/>
    <x v="78"/>
    <n v="53361"/>
    <n v="98"/>
    <x v="33"/>
    <n v="72"/>
    <x v="5"/>
    <x v="1"/>
    <s v="Referral"/>
    <s v="Junior"/>
    <x v="1"/>
    <x v="0"/>
    <s v="Normal Review"/>
    <n v="0.05"/>
    <n v="13397.6"/>
    <n v="334710.59999999998"/>
    <n v="180000"/>
    <n v="319999"/>
    <n v="0.05"/>
    <s v="Correct Band"/>
  </r>
  <r>
    <x v="79"/>
    <s v="Brian"/>
    <s v="Umeh"/>
    <s v="brian.umeh@northstar-group.com"/>
    <x v="2"/>
    <s v="Supply Planner"/>
    <x v="2"/>
    <d v="2025-06-13T00:00:00"/>
    <d v="1990-06-13T00:00:00"/>
    <x v="0"/>
    <x v="2"/>
    <s v="Mid-Level"/>
    <x v="79"/>
    <n v="41517"/>
    <n v="51"/>
    <x v="5"/>
    <n v="74"/>
    <x v="5"/>
    <x v="3"/>
    <s v="Recruitment Agency"/>
    <s v="Mid_Level"/>
    <x v="1"/>
    <x v="0"/>
    <s v="Review For Reward"/>
    <n v="0.08"/>
    <n v="36593.919999999998"/>
    <n v="535534.92000000004"/>
    <n v="320000"/>
    <n v="549999"/>
    <n v="0.08"/>
    <s v="Correct Band"/>
  </r>
  <r>
    <x v="80"/>
    <s v="Tolu"/>
    <s v="Smith"/>
    <s v="tolu.smith@northstar-group.com"/>
    <x v="3"/>
    <s v="Data Analyst"/>
    <x v="3"/>
    <d v="2021-01-21T00:00:00"/>
    <d v="1995-01-30T00:00:00"/>
    <x v="0"/>
    <x v="0"/>
    <s v="Senior"/>
    <x v="80"/>
    <n v="76509"/>
    <n v="57"/>
    <x v="16"/>
    <n v="87"/>
    <x v="0"/>
    <x v="1"/>
    <s v="Indeed"/>
    <s v="Senior"/>
    <x v="1"/>
    <x v="0"/>
    <s v="Normal Review"/>
    <n v="0.12"/>
    <n v="90417.12"/>
    <n v="920402.12"/>
    <n v="550000"/>
    <n v="999999"/>
    <n v="0.12"/>
    <s v="Correct Band"/>
  </r>
  <r>
    <x v="81"/>
    <s v="Ngozi"/>
    <s v="Williams"/>
    <s v="ngozi.williams@northstar-group.com"/>
    <x v="4"/>
    <s v="HR Analyst"/>
    <x v="4"/>
    <d v="2025-04-23T00:00:00"/>
    <d v="1995-12-08T00:00:00"/>
    <x v="1"/>
    <x v="0"/>
    <s v="Junior"/>
    <x v="81"/>
    <n v="133232"/>
    <n v="79"/>
    <x v="0"/>
    <n v="63"/>
    <x v="2"/>
    <x v="1"/>
    <s v="Indeed"/>
    <s v="Junior"/>
    <x v="1"/>
    <x v="1"/>
    <s v="Normal Review"/>
    <n v="0.05"/>
    <n v="13162.1"/>
    <n v="409636.1"/>
    <n v="180000"/>
    <n v="319999"/>
    <n v="0.05"/>
    <s v="Correct Band"/>
  </r>
  <r>
    <x v="82"/>
    <s v="Henry"/>
    <s v="Johnson"/>
    <s v="henry.johnson@northstar-group.com"/>
    <x v="5"/>
    <s v="Digital Marketing Specialist"/>
    <x v="5"/>
    <d v="2025-09-15T00:00:00"/>
    <d v="1996-12-26T00:00:00"/>
    <x v="0"/>
    <x v="1"/>
    <s v="Mid-Level"/>
    <x v="82"/>
    <n v="128356"/>
    <n v="50"/>
    <x v="52"/>
    <n v="64"/>
    <x v="9"/>
    <x v="0"/>
    <s v="Indeed"/>
    <s v="Mid_Level"/>
    <x v="0"/>
    <x v="1"/>
    <s v="Normal Review"/>
    <n v="0.08"/>
    <n v="35563.840000000004"/>
    <n v="608467.84"/>
    <n v="320000"/>
    <n v="549999"/>
    <n v="0.08"/>
    <s v="Correct Band"/>
  </r>
  <r>
    <x v="83"/>
    <s v="Janet"/>
    <s v="Brown"/>
    <s v="janet.brown@northstar-group.com"/>
    <x v="6"/>
    <s v="Customer Success Associate"/>
    <x v="6"/>
    <d v="2023-09-28T00:00:00"/>
    <d v="2009-10-04T00:00:00"/>
    <x v="1"/>
    <x v="0"/>
    <s v="Senior"/>
    <x v="83"/>
    <n v="49454"/>
    <n v="98"/>
    <x v="13"/>
    <n v="70"/>
    <x v="4"/>
    <x v="2"/>
    <s v="Company Website"/>
    <s v="Senior"/>
    <x v="1"/>
    <x v="0"/>
    <s v="Normal Review"/>
    <n v="0.12"/>
    <n v="89428.319999999992"/>
    <n v="884118.32"/>
    <n v="550000"/>
    <n v="999999"/>
    <n v="0.12"/>
    <s v="Correct Band"/>
  </r>
  <r>
    <x v="84"/>
    <s v="Paul"/>
    <s v="Okafor"/>
    <s v="paul.okafor@northstar-group.com"/>
    <x v="0"/>
    <s v="Sales Associate"/>
    <x v="0"/>
    <d v="2020-07-02T00:00:00"/>
    <d v="1999-04-11T00:00:00"/>
    <x v="1"/>
    <x v="0"/>
    <s v="Junior"/>
    <x v="84"/>
    <n v="39873"/>
    <n v="97"/>
    <x v="28"/>
    <n v="86"/>
    <x v="10"/>
    <x v="1"/>
    <s v="Recruitment Agency"/>
    <s v="Junior"/>
    <x v="1"/>
    <x v="1"/>
    <s v="Normal Review"/>
    <n v="0.05"/>
    <n v="12692.050000000001"/>
    <n v="306406.05"/>
    <n v="180000"/>
    <n v="319999"/>
    <n v="0.05"/>
    <s v="Correct Band"/>
  </r>
  <r>
    <x v="85"/>
    <s v="Mercy"/>
    <s v="Mensah"/>
    <s v="mercy.mensah@northstar-group.com"/>
    <x v="1"/>
    <s v="Finance Associate"/>
    <x v="1"/>
    <d v="2023-09-26T00:00:00"/>
    <d v="1989-07-03T00:00:00"/>
    <x v="1"/>
    <x v="0"/>
    <s v="Mid-Level"/>
    <x v="85"/>
    <n v="37789"/>
    <n v="78"/>
    <x v="18"/>
    <n v="81"/>
    <x v="3"/>
    <x v="1"/>
    <s v="LinkedIn"/>
    <s v="Mid_Level"/>
    <x v="0"/>
    <x v="0"/>
    <s v="Normal Review"/>
    <n v="0.08"/>
    <n v="38188.480000000003"/>
    <n v="553333.48"/>
    <n v="320000"/>
    <n v="549999"/>
    <n v="0.08"/>
    <s v="Correct Band"/>
  </r>
  <r>
    <x v="86"/>
    <s v="Kevin"/>
    <s v="Adeyemi"/>
    <s v="kevin.adeyemi@northstar-group.com"/>
    <x v="2"/>
    <s v="Operations Associate"/>
    <x v="2"/>
    <d v="2022-12-26T00:00:00"/>
    <d v="2000-03-09T00:00:00"/>
    <x v="0"/>
    <x v="0"/>
    <s v="Senior"/>
    <x v="86"/>
    <n v="139885"/>
    <n v="89"/>
    <x v="53"/>
    <n v="79"/>
    <x v="11"/>
    <x v="2"/>
    <s v="Recruitment Agency"/>
    <s v="Senior"/>
    <x v="1"/>
    <x v="1"/>
    <s v="Normal Review"/>
    <n v="0.12"/>
    <n v="91384.44"/>
    <n v="992806.44"/>
    <n v="550000"/>
    <n v="999999"/>
    <n v="0.12"/>
    <s v="Correct Band"/>
  </r>
  <r>
    <x v="87"/>
    <s v="Ada"/>
    <s v="Bello"/>
    <s v="ada.bello@northstar-group.com"/>
    <x v="3"/>
    <s v="IT Support Specialist"/>
    <x v="3"/>
    <d v="2020-10-12T00:00:00"/>
    <d v="1995-07-14T00:00:00"/>
    <x v="0"/>
    <x v="2"/>
    <s v="Junior"/>
    <x v="87"/>
    <n v="23692"/>
    <n v="90"/>
    <x v="53"/>
    <n v="82"/>
    <x v="2"/>
    <x v="3"/>
    <s v="Indeed"/>
    <s v="Junior"/>
    <x v="1"/>
    <x v="1"/>
    <s v="Review For Reward"/>
    <n v="0.05"/>
    <n v="10235.25"/>
    <n v="238632.25"/>
    <n v="180000"/>
    <n v="319999"/>
    <n v="0.05"/>
    <s v="Correct Band"/>
  </r>
  <r>
    <x v="88"/>
    <s v="Joseph"/>
    <s v="Eze"/>
    <s v="joseph.eze@northstar-group.com"/>
    <x v="4"/>
    <s v="HR Analyst"/>
    <x v="4"/>
    <d v="2023-05-16T00:00:00"/>
    <d v="1986-04-20T00:00:00"/>
    <x v="0"/>
    <x v="0"/>
    <s v="Mid-Level"/>
    <x v="88"/>
    <n v="98262"/>
    <n v="52"/>
    <x v="15"/>
    <n v="82"/>
    <x v="6"/>
    <x v="1"/>
    <s v="Recruitment Agency"/>
    <s v="Mid_Level"/>
    <x v="0"/>
    <x v="1"/>
    <s v="Normal Review"/>
    <n v="0.08"/>
    <n v="33744.400000000001"/>
    <n v="553811.4"/>
    <n v="320000"/>
    <n v="549999"/>
    <n v="0.08"/>
    <s v="Correct Band"/>
  </r>
  <r>
    <x v="89"/>
    <s v="Rose"/>
    <s v="Okoro"/>
    <s v="rose.okoro@northstar-group.com"/>
    <x v="5"/>
    <s v="Marketing Analyst"/>
    <x v="5"/>
    <d v="2026-05-12T00:00:00"/>
    <d v="2015-08-02T00:00:00"/>
    <x v="0"/>
    <x v="0"/>
    <s v="Senior"/>
    <x v="89"/>
    <n v="100281"/>
    <n v="100"/>
    <x v="6"/>
    <n v="94"/>
    <x v="3"/>
    <x v="1"/>
    <s v="Indeed"/>
    <s v="Senior"/>
    <x v="0"/>
    <x v="0"/>
    <s v="Normal Review"/>
    <n v="0.12"/>
    <n v="90480.959999999992"/>
    <n v="944769.96"/>
    <n v="550000"/>
    <n v="999999"/>
    <n v="0.12"/>
    <s v="Correct Band"/>
  </r>
  <r>
    <x v="90"/>
    <s v="Aisha"/>
    <s v="Ibrahim"/>
    <s v="aisha.ibrahim@northstar-group.com"/>
    <x v="6"/>
    <s v="Customer Success Associate"/>
    <x v="6"/>
    <d v="2021-08-14T00:00:00"/>
    <d v="1995-06-02T00:00:00"/>
    <x v="1"/>
    <x v="0"/>
    <s v="Junior"/>
    <x v="90"/>
    <n v="2463"/>
    <n v="79"/>
    <x v="34"/>
    <n v="84"/>
    <x v="12"/>
    <x v="0"/>
    <s v="Company Website"/>
    <s v="Junior"/>
    <x v="1"/>
    <x v="1"/>
    <s v="Normal Review"/>
    <n v="0.05"/>
    <n v="13821.75"/>
    <n v="292719.75"/>
    <n v="180000"/>
    <n v="319999"/>
    <n v="0.05"/>
    <s v="Correct Band"/>
  </r>
  <r>
    <x v="91"/>
    <s v="Daniel"/>
    <s v="Adebayo"/>
    <s v="daniel.adebayo@northstar-group.com"/>
    <x v="0"/>
    <s v="Sales Associate"/>
    <x v="0"/>
    <d v="2024-12-19T00:00:00"/>
    <d v="2000-07-02T00:00:00"/>
    <x v="1"/>
    <x v="2"/>
    <s v="Mid-Level"/>
    <x v="91"/>
    <n v="65561"/>
    <n v="87"/>
    <x v="54"/>
    <n v="84"/>
    <x v="12"/>
    <x v="1"/>
    <s v="Indeed"/>
    <s v="Mid_Level"/>
    <x v="0"/>
    <x v="1"/>
    <s v="Normal Review"/>
    <n v="0.08"/>
    <n v="32774.480000000003"/>
    <n v="508016.48"/>
    <n v="320000"/>
    <n v="549999"/>
    <n v="0.08"/>
    <s v="Correct Band"/>
  </r>
  <r>
    <x v="92"/>
    <s v="Grace"/>
    <s v="Nwosu"/>
    <s v="grace.nwosu@northstar-group.com"/>
    <x v="1"/>
    <s v="Accountant"/>
    <x v="1"/>
    <d v="2021-03-17T00:00:00"/>
    <d v="1995-08-23T00:00:00"/>
    <x v="0"/>
    <x v="2"/>
    <s v="Senior"/>
    <x v="92"/>
    <n v="77392"/>
    <n v="74"/>
    <x v="55"/>
    <n v="56"/>
    <x v="3"/>
    <x v="2"/>
    <s v="Referral"/>
    <s v="Senior"/>
    <x v="1"/>
    <x v="0"/>
    <s v="Normal Review"/>
    <n v="0.12"/>
    <n v="91600.2"/>
    <n v="932327.2"/>
    <n v="550000"/>
    <n v="999999"/>
    <n v="0.12"/>
    <s v="Correct Band"/>
  </r>
  <r>
    <x v="93"/>
    <s v="Michael"/>
    <s v="Umeh"/>
    <s v="michael.umeh@northstar-group.com"/>
    <x v="2"/>
    <s v="Supply Planner"/>
    <x v="2"/>
    <d v="2026-05-12T00:00:00"/>
    <d v="2015-10-07T00:00:00"/>
    <x v="1"/>
    <x v="0"/>
    <s v="Junior"/>
    <x v="93"/>
    <n v="60324"/>
    <n v="99"/>
    <x v="56"/>
    <n v="93"/>
    <x v="8"/>
    <x v="1"/>
    <s v="Company Website"/>
    <s v="Junior"/>
    <x v="0"/>
    <x v="0"/>
    <s v="Normal Review"/>
    <n v="0.05"/>
    <n v="10053.050000000001"/>
    <n v="271438.05"/>
    <n v="180000"/>
    <n v="319999"/>
    <n v="0.05"/>
    <s v="Correct Band"/>
  </r>
  <r>
    <x v="94"/>
    <s v="Chiamaka"/>
    <s v="Smith"/>
    <s v="chiamaka.smith@northstar-group.com"/>
    <x v="3"/>
    <s v="Systems Analyst"/>
    <x v="3"/>
    <d v="2022-02-22T00:00:00"/>
    <d v="2012-11-07T00:00:00"/>
    <x v="0"/>
    <x v="2"/>
    <s v="Mid-Level"/>
    <x v="94"/>
    <n v="25470"/>
    <n v="66"/>
    <x v="46"/>
    <n v="95"/>
    <x v="3"/>
    <x v="3"/>
    <s v="Referral"/>
    <s v="Mid_Level"/>
    <x v="1"/>
    <x v="0"/>
    <s v="Review For Reward"/>
    <n v="0.08"/>
    <n v="38675.360000000001"/>
    <n v="547587.36"/>
    <n v="320000"/>
    <n v="549999"/>
    <n v="0.08"/>
    <s v="Correct Band"/>
  </r>
  <r>
    <x v="95"/>
    <s v="David"/>
    <s v="Williams"/>
    <s v="david.williams@northstar-group.com"/>
    <x v="4"/>
    <s v="HR Analyst"/>
    <x v="4"/>
    <d v="2020-05-21T00:00:00"/>
    <d v="2010-12-31T00:00:00"/>
    <x v="0"/>
    <x v="0"/>
    <s v="Senior"/>
    <x v="95"/>
    <n v="108921"/>
    <n v="73"/>
    <x v="37"/>
    <n v="66"/>
    <x v="1"/>
    <x v="1"/>
    <s v="Recruitment Agency"/>
    <s v="Senior"/>
    <x v="0"/>
    <x v="1"/>
    <s v="Normal Review"/>
    <n v="0.12"/>
    <n v="90933.48"/>
    <n v="957633.48"/>
    <n v="550000"/>
    <n v="999999"/>
    <n v="0.12"/>
    <s v="Correct Band"/>
  </r>
  <r>
    <x v="96"/>
    <s v="Sarah"/>
    <s v="Johnson"/>
    <s v="sarah.johnson@northstar-group.com"/>
    <x v="5"/>
    <s v="Marketing Coordinator"/>
    <x v="5"/>
    <d v="2025-12-19T00:00:00"/>
    <d v="2007-07-06T00:00:00"/>
    <x v="1"/>
    <x v="0"/>
    <s v="Junior"/>
    <x v="96"/>
    <n v="88792"/>
    <n v="67"/>
    <x v="57"/>
    <n v="62"/>
    <x v="9"/>
    <x v="3"/>
    <s v="Company Website"/>
    <s v="Junior"/>
    <x v="0"/>
    <x v="1"/>
    <s v="Review For Reward"/>
    <n v="0.05"/>
    <n v="12397.650000000001"/>
    <n v="349142.65"/>
    <n v="180000"/>
    <n v="319999"/>
    <n v="0.05"/>
    <s v="Correct Band"/>
  </r>
  <r>
    <x v="97"/>
    <s v="James"/>
    <s v="Brown"/>
    <s v="james.brown@northstar-group.com"/>
    <x v="6"/>
    <s v="Customer Success Associate"/>
    <x v="6"/>
    <d v="2022-07-18T00:00:00"/>
    <d v="2015-05-04T00:00:00"/>
    <x v="0"/>
    <x v="0"/>
    <s v="Mid-Level"/>
    <x v="97"/>
    <n v="103435"/>
    <n v="96"/>
    <x v="58"/>
    <n v="55"/>
    <x v="12"/>
    <x v="0"/>
    <s v="LinkedIn"/>
    <s v="Mid_Level"/>
    <x v="1"/>
    <x v="1"/>
    <s v="Normal Review"/>
    <n v="0.08"/>
    <n v="39907.840000000004"/>
    <n v="642190.84"/>
    <n v="320000"/>
    <n v="549999"/>
    <n v="0.08"/>
    <s v="Correct Band"/>
  </r>
  <r>
    <x v="98"/>
    <s v="Blessing"/>
    <s v="Okafor"/>
    <s v="blessing.okafor@northstar-group.com"/>
    <x v="0"/>
    <s v="Account Executive"/>
    <x v="0"/>
    <d v="2024-02-23T00:00:00"/>
    <d v="2015-03-08T00:00:00"/>
    <x v="1"/>
    <x v="2"/>
    <s v="Senior"/>
    <x v="98"/>
    <n v="97379"/>
    <n v="97"/>
    <x v="59"/>
    <n v="61"/>
    <x v="3"/>
    <x v="1"/>
    <s v="Indeed"/>
    <s v="Senior"/>
    <x v="1"/>
    <x v="0"/>
    <s v="Normal Review"/>
    <n v="0.12"/>
    <n v="91153.08"/>
    <n v="948141.08"/>
    <n v="550000"/>
    <n v="999999"/>
    <n v="0.12"/>
    <s v="Correct Band"/>
  </r>
  <r>
    <x v="99"/>
    <s v="Victor"/>
    <s v="Mensah"/>
    <s v="victor.mensah@northstar-group.com"/>
    <x v="1"/>
    <s v="Finance Associate"/>
    <x v="1"/>
    <d v="2026-04-23T00:00:00"/>
    <d v="1999-09-19T00:00:00"/>
    <x v="0"/>
    <x v="2"/>
    <s v="Junior"/>
    <x v="99"/>
    <n v="121704"/>
    <n v="89"/>
    <x v="60"/>
    <n v="74"/>
    <x v="3"/>
    <x v="2"/>
    <s v="LinkedIn"/>
    <s v="Junior"/>
    <x v="0"/>
    <x v="0"/>
    <s v="Normal Review"/>
    <n v="0.05"/>
    <n v="10164"/>
    <n v="335148"/>
    <n v="180000"/>
    <n v="319999"/>
    <n v="0.05"/>
    <s v="Correct B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1D8C6-2695-48A8-BFAC-C453FF290D3D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4" firstHeaderRow="1" firstDataRow="1" firstDataCol="1"/>
  <pivotFields count="31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5FB42-CF36-4E94-BA3E-9822A47906C0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B56" firstHeaderRow="1" firstDataRow="1" firstDataCol="1"/>
  <pivotFields count="31">
    <pivotField showAll="0"/>
    <pivotField showAll="0"/>
    <pivotField showAll="0"/>
    <pivotField showAll="0"/>
    <pivotField axis="axisRow" showAll="0">
      <items count="8">
        <item x="6"/>
        <item x="1"/>
        <item x="4"/>
        <item x="3"/>
        <item x="5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bsent_Day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9C55B-D6F6-466A-B9AF-729DF2C59BA9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E35:F38" firstHeaderRow="1" firstDataRow="1" firstDataCol="1"/>
  <pivotFields count="31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3">
        <item x="1"/>
        <item x="0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DEE73-3773-4A70-BF27-BE4305F2ABD5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9:O3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numFmtId="3" showAll="0"/>
    <pivotField numFmtId="3" showAll="0"/>
    <pivotField showAll="0"/>
    <pivotField showAll="0">
      <items count="62">
        <item x="1"/>
        <item x="12"/>
        <item x="49"/>
        <item x="47"/>
        <item x="7"/>
        <item x="2"/>
        <item x="52"/>
        <item x="50"/>
        <item x="44"/>
        <item x="15"/>
        <item x="19"/>
        <item x="42"/>
        <item x="57"/>
        <item x="10"/>
        <item x="37"/>
        <item x="51"/>
        <item x="48"/>
        <item x="18"/>
        <item x="21"/>
        <item x="16"/>
        <item x="9"/>
        <item x="38"/>
        <item x="20"/>
        <item x="5"/>
        <item x="41"/>
        <item x="27"/>
        <item x="3"/>
        <item x="23"/>
        <item x="11"/>
        <item x="22"/>
        <item x="25"/>
        <item x="45"/>
        <item x="31"/>
        <item x="56"/>
        <item x="60"/>
        <item x="26"/>
        <item x="39"/>
        <item x="54"/>
        <item x="32"/>
        <item x="46"/>
        <item x="55"/>
        <item x="6"/>
        <item x="4"/>
        <item x="43"/>
        <item x="0"/>
        <item x="29"/>
        <item x="34"/>
        <item x="8"/>
        <item x="36"/>
        <item x="24"/>
        <item x="40"/>
        <item x="35"/>
        <item x="28"/>
        <item x="14"/>
        <item x="33"/>
        <item x="17"/>
        <item x="13"/>
        <item x="53"/>
        <item x="30"/>
        <item x="58"/>
        <item x="59"/>
        <item t="default"/>
      </items>
    </pivotField>
    <pivotField showAll="0"/>
    <pivotField axis="axisRow" dataField="1" showAll="0" measureFilter="1">
      <items count="14">
        <item x="10"/>
        <item x="2"/>
        <item x="6"/>
        <item x="1"/>
        <item x="12"/>
        <item x="11"/>
        <item x="7"/>
        <item x="9"/>
        <item x="5"/>
        <item x="4"/>
        <item x="3"/>
        <item x="0"/>
        <item x="8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17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bsent_Days" fld="17" baseField="0" baseItem="0"/>
  </dataFields>
  <pivotTableStyleInfo name="PivotStyleLight16" showRowHeaders="1" showColHeaders="1" showRowStripes="0" showColStripes="0" showLastColumn="1"/>
  <filters count="1">
    <filter fld="17" type="valueGreaterThan" evalOrder="-1" id="1" iMeasureFld="0">
      <autoFilter ref="A1">
        <filterColumn colId="0">
          <customFilters>
            <customFilter operator="greaterThan" val="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6F3C4-80ED-4B18-8073-BAA92E04C137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8:L52" firstHeaderRow="1" firstDataRow="1" firstDataCol="1"/>
  <pivotFields count="31">
    <pivotField axis="axisRow" showAll="0" measureFilter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numFmtId="3" showAll="0">
      <items count="101">
        <item x="93"/>
        <item x="99"/>
        <item x="87"/>
        <item x="48"/>
        <item x="57"/>
        <item x="3"/>
        <item x="21"/>
        <item x="66"/>
        <item x="45"/>
        <item x="60"/>
        <item x="42"/>
        <item x="63"/>
        <item x="33"/>
        <item x="96"/>
        <item x="84"/>
        <item x="9"/>
        <item x="69"/>
        <item x="81"/>
        <item x="30"/>
        <item x="24"/>
        <item x="78"/>
        <item x="75"/>
        <item x="51"/>
        <item x="27"/>
        <item x="18"/>
        <item x="90"/>
        <item x="15"/>
        <item x="6"/>
        <item x="54"/>
        <item x="0"/>
        <item x="36"/>
        <item x="72"/>
        <item x="39"/>
        <item x="12"/>
        <item x="43"/>
        <item x="22"/>
        <item x="67"/>
        <item x="91"/>
        <item x="37"/>
        <item x="28"/>
        <item x="31"/>
        <item x="88"/>
        <item x="55"/>
        <item x="70"/>
        <item x="16"/>
        <item x="52"/>
        <item x="82"/>
        <item x="19"/>
        <item x="40"/>
        <item x="58"/>
        <item x="79"/>
        <item x="4"/>
        <item x="25"/>
        <item x="49"/>
        <item x="85"/>
        <item x="1"/>
        <item x="10"/>
        <item x="13"/>
        <item x="94"/>
        <item x="34"/>
        <item x="76"/>
        <item x="7"/>
        <item x="73"/>
        <item x="61"/>
        <item x="46"/>
        <item x="97"/>
        <item x="64"/>
        <item x="53"/>
        <item x="17"/>
        <item x="47"/>
        <item x="5"/>
        <item x="59"/>
        <item x="68"/>
        <item x="44"/>
        <item x="23"/>
        <item x="20"/>
        <item x="2"/>
        <item x="29"/>
        <item x="62"/>
        <item x="65"/>
        <item x="35"/>
        <item x="77"/>
        <item x="83"/>
        <item x="80"/>
        <item x="89"/>
        <item x="41"/>
        <item x="95"/>
        <item x="98"/>
        <item x="86"/>
        <item x="92"/>
        <item x="50"/>
        <item x="38"/>
        <item x="32"/>
        <item x="56"/>
        <item x="74"/>
        <item x="8"/>
        <item x="26"/>
        <item x="71"/>
        <item x="14"/>
        <item x="11"/>
        <item t="default"/>
      </items>
    </pivotField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0"/>
  </rowFields>
  <rowItems count="34">
    <i>
      <x v="2"/>
    </i>
    <i>
      <x v="5"/>
    </i>
    <i>
      <x v="8"/>
    </i>
    <i>
      <x v="11"/>
    </i>
    <i>
      <x v="14"/>
    </i>
    <i>
      <x v="17"/>
    </i>
    <i>
      <x v="20"/>
    </i>
    <i>
      <x v="23"/>
    </i>
    <i>
      <x v="26"/>
    </i>
    <i>
      <x v="29"/>
    </i>
    <i>
      <x v="32"/>
    </i>
    <i>
      <x v="35"/>
    </i>
    <i>
      <x v="38"/>
    </i>
    <i>
      <x v="41"/>
    </i>
    <i>
      <x v="44"/>
    </i>
    <i>
      <x v="47"/>
    </i>
    <i>
      <x v="50"/>
    </i>
    <i>
      <x v="53"/>
    </i>
    <i>
      <x v="56"/>
    </i>
    <i>
      <x v="59"/>
    </i>
    <i>
      <x v="62"/>
    </i>
    <i>
      <x v="65"/>
    </i>
    <i>
      <x v="68"/>
    </i>
    <i>
      <x v="71"/>
    </i>
    <i>
      <x v="74"/>
    </i>
    <i>
      <x v="77"/>
    </i>
    <i>
      <x v="80"/>
    </i>
    <i>
      <x v="83"/>
    </i>
    <i>
      <x v="86"/>
    </i>
    <i>
      <x v="89"/>
    </i>
    <i>
      <x v="92"/>
    </i>
    <i>
      <x v="95"/>
    </i>
    <i>
      <x v="98"/>
    </i>
    <i t="grand">
      <x/>
    </i>
  </rowItems>
  <colItems count="1">
    <i/>
  </colItems>
  <dataFields count="1">
    <dataField name="Sum of Annual_Salary" fld="12" baseField="0" baseItem="0" numFmtId="3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6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53AA6-12CB-4059-A7CC-53DCF0C765DB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106" firstHeaderRow="1" firstDataRow="1" firstDataCol="1"/>
  <pivotFields count="31">
    <pivotField axis="axisRow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numFmtId="3" showAll="0" sortType="descending">
      <items count="101">
        <item x="11"/>
        <item x="14"/>
        <item x="71"/>
        <item x="26"/>
        <item x="8"/>
        <item x="74"/>
        <item x="56"/>
        <item x="32"/>
        <item x="38"/>
        <item x="50"/>
        <item x="92"/>
        <item x="86"/>
        <item x="98"/>
        <item x="95"/>
        <item x="41"/>
        <item x="89"/>
        <item x="80"/>
        <item x="83"/>
        <item x="77"/>
        <item x="35"/>
        <item x="65"/>
        <item x="62"/>
        <item x="29"/>
        <item x="2"/>
        <item x="20"/>
        <item x="23"/>
        <item x="44"/>
        <item x="68"/>
        <item x="59"/>
        <item x="5"/>
        <item x="47"/>
        <item x="17"/>
        <item x="53"/>
        <item x="64"/>
        <item x="97"/>
        <item x="46"/>
        <item x="61"/>
        <item x="73"/>
        <item x="7"/>
        <item x="76"/>
        <item x="34"/>
        <item x="94"/>
        <item x="13"/>
        <item x="10"/>
        <item x="1"/>
        <item x="85"/>
        <item x="49"/>
        <item x="25"/>
        <item x="4"/>
        <item x="79"/>
        <item x="58"/>
        <item x="40"/>
        <item x="19"/>
        <item x="82"/>
        <item x="52"/>
        <item x="16"/>
        <item x="70"/>
        <item x="55"/>
        <item x="88"/>
        <item x="31"/>
        <item x="28"/>
        <item x="37"/>
        <item x="91"/>
        <item x="67"/>
        <item x="22"/>
        <item x="43"/>
        <item x="12"/>
        <item x="39"/>
        <item x="72"/>
        <item x="36"/>
        <item x="0"/>
        <item x="54"/>
        <item x="6"/>
        <item x="15"/>
        <item x="90"/>
        <item x="18"/>
        <item x="27"/>
        <item x="51"/>
        <item x="75"/>
        <item x="78"/>
        <item x="24"/>
        <item x="30"/>
        <item x="81"/>
        <item x="69"/>
        <item x="9"/>
        <item x="84"/>
        <item x="96"/>
        <item x="33"/>
        <item x="63"/>
        <item x="42"/>
        <item x="60"/>
        <item x="45"/>
        <item x="66"/>
        <item x="21"/>
        <item x="3"/>
        <item x="57"/>
        <item x="48"/>
        <item x="87"/>
        <item x="99"/>
        <item x="93"/>
        <item t="default"/>
      </items>
    </pivotField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0"/>
  </rowFields>
  <rowItems count="101">
    <i>
      <x v="11"/>
    </i>
    <i>
      <x v="14"/>
    </i>
    <i>
      <x v="71"/>
    </i>
    <i>
      <x v="26"/>
    </i>
    <i>
      <x v="8"/>
    </i>
    <i>
      <x v="74"/>
    </i>
    <i>
      <x v="56"/>
    </i>
    <i>
      <x v="32"/>
    </i>
    <i>
      <x v="38"/>
    </i>
    <i>
      <x v="50"/>
    </i>
    <i>
      <x v="92"/>
    </i>
    <i>
      <x v="86"/>
    </i>
    <i>
      <x v="98"/>
    </i>
    <i>
      <x v="95"/>
    </i>
    <i>
      <x v="41"/>
    </i>
    <i>
      <x v="89"/>
    </i>
    <i>
      <x v="80"/>
    </i>
    <i>
      <x v="83"/>
    </i>
    <i>
      <x v="77"/>
    </i>
    <i>
      <x v="35"/>
    </i>
    <i>
      <x v="65"/>
    </i>
    <i>
      <x v="62"/>
    </i>
    <i>
      <x v="29"/>
    </i>
    <i>
      <x v="2"/>
    </i>
    <i>
      <x v="20"/>
    </i>
    <i>
      <x v="23"/>
    </i>
    <i>
      <x v="44"/>
    </i>
    <i>
      <x v="68"/>
    </i>
    <i>
      <x v="59"/>
    </i>
    <i>
      <x v="5"/>
    </i>
    <i>
      <x v="47"/>
    </i>
    <i>
      <x v="17"/>
    </i>
    <i>
      <x v="53"/>
    </i>
    <i>
      <x v="64"/>
    </i>
    <i>
      <x v="97"/>
    </i>
    <i>
      <x v="46"/>
    </i>
    <i>
      <x v="61"/>
    </i>
    <i>
      <x v="73"/>
    </i>
    <i>
      <x v="7"/>
    </i>
    <i>
      <x v="76"/>
    </i>
    <i>
      <x v="34"/>
    </i>
    <i>
      <x v="94"/>
    </i>
    <i>
      <x v="13"/>
    </i>
    <i>
      <x v="10"/>
    </i>
    <i>
      <x v="1"/>
    </i>
    <i>
      <x v="85"/>
    </i>
    <i>
      <x v="49"/>
    </i>
    <i>
      <x v="25"/>
    </i>
    <i>
      <x v="4"/>
    </i>
    <i>
      <x v="79"/>
    </i>
    <i>
      <x v="58"/>
    </i>
    <i>
      <x v="40"/>
    </i>
    <i>
      <x v="19"/>
    </i>
    <i>
      <x v="82"/>
    </i>
    <i>
      <x v="52"/>
    </i>
    <i>
      <x v="16"/>
    </i>
    <i>
      <x v="70"/>
    </i>
    <i>
      <x v="55"/>
    </i>
    <i>
      <x v="88"/>
    </i>
    <i>
      <x v="31"/>
    </i>
    <i>
      <x v="28"/>
    </i>
    <i>
      <x v="37"/>
    </i>
    <i>
      <x v="91"/>
    </i>
    <i>
      <x v="67"/>
    </i>
    <i>
      <x v="22"/>
    </i>
    <i>
      <x v="43"/>
    </i>
    <i>
      <x v="12"/>
    </i>
    <i>
      <x v="39"/>
    </i>
    <i>
      <x v="72"/>
    </i>
    <i>
      <x v="36"/>
    </i>
    <i>
      <x/>
    </i>
    <i>
      <x v="54"/>
    </i>
    <i>
      <x v="6"/>
    </i>
    <i>
      <x v="15"/>
    </i>
    <i>
      <x v="90"/>
    </i>
    <i>
      <x v="18"/>
    </i>
    <i>
      <x v="27"/>
    </i>
    <i>
      <x v="51"/>
    </i>
    <i>
      <x v="75"/>
    </i>
    <i>
      <x v="78"/>
    </i>
    <i>
      <x v="24"/>
    </i>
    <i>
      <x v="30"/>
    </i>
    <i>
      <x v="81"/>
    </i>
    <i>
      <x v="69"/>
    </i>
    <i>
      <x v="9"/>
    </i>
    <i>
      <x v="84"/>
    </i>
    <i>
      <x v="96"/>
    </i>
    <i>
      <x v="33"/>
    </i>
    <i>
      <x v="63"/>
    </i>
    <i>
      <x v="42"/>
    </i>
    <i>
      <x v="60"/>
    </i>
    <i>
      <x v="45"/>
    </i>
    <i>
      <x v="66"/>
    </i>
    <i>
      <x v="21"/>
    </i>
    <i>
      <x v="3"/>
    </i>
    <i>
      <x v="57"/>
    </i>
    <i>
      <x v="48"/>
    </i>
    <i>
      <x v="87"/>
    </i>
    <i>
      <x v="99"/>
    </i>
    <i>
      <x v="93"/>
    </i>
    <i t="grand">
      <x/>
    </i>
  </rowItems>
  <colItems count="1">
    <i/>
  </colItems>
  <dataFields count="1">
    <dataField name="Sum of Annual_Salary" fld="1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2963C-2153-4FFF-87A9-1EB2D884A455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12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6"/>
        <item x="3"/>
        <item x="4"/>
        <item x="0"/>
        <item x="5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onus" fld="1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C5C1E-5D3D-4F58-8D3B-7796235CA22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2" firstHeaderRow="1" firstDataRow="1" firstDataCol="1"/>
  <pivotFields count="31">
    <pivotField showAll="0"/>
    <pivotField showAll="0"/>
    <pivotField showAll="0"/>
    <pivotField showAll="0"/>
    <pivotField axis="axisRow" showAll="0">
      <items count="8">
        <item x="6"/>
        <item x="1"/>
        <item x="4"/>
        <item x="3"/>
        <item x="5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numFmtId="3" showAll="0"/>
    <pivotField numFmtId="3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tisfaction_Scor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AF2E4-BA62-47E3-BFB7-49C6464BD80A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6:B24" firstHeaderRow="1" firstDataRow="1" firstDataCol="1"/>
  <pivotFields count="31">
    <pivotField showAll="0"/>
    <pivotField showAll="0"/>
    <pivotField showAll="0"/>
    <pivotField showAll="0"/>
    <pivotField axis="axisRow" showAll="0">
      <items count="8">
        <item x="6"/>
        <item x="1"/>
        <item x="4"/>
        <item x="3"/>
        <item x="5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dataField="1"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_Salary" fld="12" baseField="0" baseItem="0" numFmtId="3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59402-391F-4820-A04E-9E901E2DA20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30" firstHeaderRow="1" firstDataRow="1" firstDataCol="1"/>
  <pivotFields count="31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>
      <items count="8">
        <item x="6"/>
        <item x="1"/>
        <item x="4"/>
        <item x="3"/>
        <item x="5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</pivotFields>
  <rowFields count="2">
    <field x="4"/>
    <field x="10"/>
  </rowFields>
  <rowItems count="27">
    <i>
      <x/>
    </i>
    <i r="1">
      <x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zoomScale="60" zoomScaleNormal="60" workbookViewId="0">
      <pane ySplit="1" topLeftCell="A2" activePane="bottomLeft" state="frozen"/>
      <selection pane="bottomLeft" activeCell="B257" sqref="B257"/>
    </sheetView>
  </sheetViews>
  <sheetFormatPr defaultRowHeight="15" x14ac:dyDescent="0.25"/>
  <cols>
    <col min="1" max="1" width="55.42578125" bestFit="1" customWidth="1"/>
    <col min="2" max="2" width="24" bestFit="1" customWidth="1"/>
    <col min="3" max="4" width="42.7109375" bestFit="1" customWidth="1"/>
    <col min="5" max="5" width="24" bestFit="1" customWidth="1"/>
    <col min="6" max="6" width="32.28515625" bestFit="1" customWidth="1"/>
    <col min="7" max="7" width="33.28515625" bestFit="1" customWidth="1"/>
    <col min="8" max="8" width="22" bestFit="1" customWidth="1"/>
    <col min="9" max="9" width="27" bestFit="1" customWidth="1"/>
    <col min="10" max="10" width="32" bestFit="1" customWidth="1"/>
    <col min="11" max="11" width="17.5703125" bestFit="1" customWidth="1"/>
    <col min="12" max="12" width="24.85546875" bestFit="1" customWidth="1"/>
    <col min="13" max="13" width="44.7109375" bestFit="1" customWidth="1"/>
    <col min="14" max="14" width="17.5703125" bestFit="1" customWidth="1"/>
    <col min="15" max="15" width="25.85546875" bestFit="1" customWidth="1"/>
    <col min="16" max="16" width="29.42578125" bestFit="1" customWidth="1"/>
    <col min="17" max="17" width="33.42578125" bestFit="1" customWidth="1"/>
    <col min="18" max="18" width="25.85546875" bestFit="1" customWidth="1"/>
    <col min="19" max="19" width="35.42578125" bestFit="1" customWidth="1"/>
    <col min="20" max="20" width="35.140625" bestFit="1" customWidth="1"/>
    <col min="21" max="21" width="17.5703125" bestFit="1" customWidth="1"/>
    <col min="22" max="22" width="19.42578125" bestFit="1" customWidth="1"/>
    <col min="23" max="23" width="25.5703125" bestFit="1" customWidth="1"/>
    <col min="24" max="24" width="24.85546875" bestFit="1" customWidth="1"/>
    <col min="25" max="25" width="12" bestFit="1" customWidth="1"/>
    <col min="26" max="26" width="32" bestFit="1" customWidth="1"/>
    <col min="27" max="27" width="13.28515625" bestFit="1" customWidth="1"/>
    <col min="28" max="28" width="39.7109375" bestFit="1" customWidth="1"/>
    <col min="29" max="29" width="40.140625" bestFit="1" customWidth="1"/>
    <col min="30" max="30" width="33" bestFit="1" customWidth="1"/>
    <col min="31" max="31" width="14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322</v>
      </c>
      <c r="V1" s="1" t="s">
        <v>323</v>
      </c>
      <c r="W1" s="1" t="s">
        <v>324</v>
      </c>
      <c r="X1" s="1" t="s">
        <v>325</v>
      </c>
      <c r="Y1" s="1" t="s">
        <v>326</v>
      </c>
      <c r="Z1" s="1" t="s">
        <v>328</v>
      </c>
      <c r="AA1" s="1" t="s">
        <v>327</v>
      </c>
      <c r="AB1" s="1" t="s">
        <v>341</v>
      </c>
      <c r="AC1" s="1" t="s">
        <v>340</v>
      </c>
      <c r="AD1" s="1" t="s">
        <v>339</v>
      </c>
      <c r="AE1" s="1" t="s">
        <v>342</v>
      </c>
    </row>
    <row r="2" spans="1:3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2">
        <v>44292</v>
      </c>
      <c r="I2" s="2">
        <v>31457</v>
      </c>
      <c r="J2" t="s">
        <v>27</v>
      </c>
      <c r="K2" t="s">
        <v>28</v>
      </c>
      <c r="L2" t="s">
        <v>29</v>
      </c>
      <c r="M2" s="3">
        <v>283810</v>
      </c>
      <c r="N2" s="3">
        <v>26868</v>
      </c>
      <c r="O2">
        <v>97</v>
      </c>
      <c r="P2">
        <v>94</v>
      </c>
      <c r="Q2">
        <v>98</v>
      </c>
      <c r="R2">
        <v>11</v>
      </c>
      <c r="S2" t="s">
        <v>30</v>
      </c>
      <c r="T2" t="s">
        <v>31</v>
      </c>
      <c r="U2" t="str" cm="1">
        <f t="array" ref="U2:U101">IF($M2:M101&lt;=320000,"Junior",IF($M2:M101&lt;=549000,"Mid_Level",IF($M2:M101&gt;=550000,"Senior")))</f>
        <v>Junior</v>
      </c>
      <c r="V2" t="str" cm="1">
        <f t="array" ref="V2:V101">IF(O2:O101&gt;=P2:P101,"Met Target","Below Target")</f>
        <v>Met Target</v>
      </c>
      <c r="W2" t="str" cm="1">
        <f t="array" ref="W2:W101">IF($R2:R101&gt;7,"High Absence","Normal")</f>
        <v>High Absence</v>
      </c>
      <c r="X2" t="str" cm="1">
        <f t="array" ref="X2:X101">IF(S2:S101="Excellent","Review For Reward","Normal Review")</f>
        <v>Normal Review</v>
      </c>
      <c r="Y2">
        <f>VLOOKUP($L2,Lookup_Table!$A$1:$D$4,4,FALSE)</f>
        <v>0.05</v>
      </c>
      <c r="Z2">
        <f>IFERROR(M2*Y2,0)</f>
        <v>14190.5</v>
      </c>
      <c r="AA2" s="3">
        <f>SUM(M2,N2,Z2)</f>
        <v>324868.5</v>
      </c>
      <c r="AB2">
        <f>VLOOKUP($L2,Lookup_Table!$A$2:$D$4,2,FALSE)</f>
        <v>180000</v>
      </c>
      <c r="AC2">
        <f>VLOOKUP($L2,Lookup_Table!$A$2:$D$4,3,FALSE)</f>
        <v>319999</v>
      </c>
      <c r="AD2">
        <f>VLOOKUP($L2,Lookup_Table!$A$2:$D$4,4)</f>
        <v>0.05</v>
      </c>
      <c r="AE2" t="str" cm="1">
        <f t="array" ref="AE2">IF(AA2:AA2,"Correct Band","Check Band")</f>
        <v>Correct Band</v>
      </c>
    </row>
    <row r="3" spans="1:3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s="2">
        <v>45564</v>
      </c>
      <c r="I3" s="2">
        <v>31568</v>
      </c>
      <c r="J3" t="s">
        <v>27</v>
      </c>
      <c r="K3" t="s">
        <v>39</v>
      </c>
      <c r="L3" t="s">
        <v>40</v>
      </c>
      <c r="M3" s="3">
        <v>477397</v>
      </c>
      <c r="N3" s="3">
        <v>6956</v>
      </c>
      <c r="O3">
        <v>51</v>
      </c>
      <c r="P3">
        <v>36</v>
      </c>
      <c r="Q3">
        <v>90</v>
      </c>
      <c r="R3">
        <v>3</v>
      </c>
      <c r="S3" t="s">
        <v>30</v>
      </c>
      <c r="T3" t="s">
        <v>41</v>
      </c>
      <c r="U3" t="str">
        <v>Mid_Level</v>
      </c>
      <c r="V3" t="str">
        <v>Met Target</v>
      </c>
      <c r="W3" t="str">
        <v>Normal</v>
      </c>
      <c r="X3" t="str">
        <v>Normal Review</v>
      </c>
      <c r="Y3">
        <f>VLOOKUP($L3,Lookup_Table!$A$1:$D$4,4,FALSE)</f>
        <v>0.08</v>
      </c>
      <c r="Z3">
        <f t="shared" ref="Z3:Z66" si="0">IFERROR(M3*Y3,0)</f>
        <v>38191.760000000002</v>
      </c>
      <c r="AA3" s="3">
        <f t="shared" ref="AA3:AA66" si="1">SUM(M3,N3,Z3)</f>
        <v>522544.76</v>
      </c>
      <c r="AB3">
        <f>VLOOKUP($L3,Lookup_Table!$A$2:$D$4,2,FALSE)</f>
        <v>320000</v>
      </c>
      <c r="AC3">
        <f>VLOOKUP($L3,Lookup_Table!$A$2:$D$4,3,FALSE)</f>
        <v>549999</v>
      </c>
      <c r="AD3">
        <f>VLOOKUP($L3,Lookup_Table!$A$2:$D$4,4)</f>
        <v>0.08</v>
      </c>
      <c r="AE3" t="str" cm="1">
        <f t="array" ref="AE3">IF(AA3:AA3,"Correct Band","Check Band")</f>
        <v>Correct Band</v>
      </c>
    </row>
    <row r="4" spans="1:31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s="2">
        <v>45675</v>
      </c>
      <c r="I4" s="2">
        <v>40702</v>
      </c>
      <c r="J4" t="s">
        <v>49</v>
      </c>
      <c r="K4" t="s">
        <v>28</v>
      </c>
      <c r="L4" t="s">
        <v>50</v>
      </c>
      <c r="M4" s="3">
        <v>728893</v>
      </c>
      <c r="N4" s="3">
        <v>72842</v>
      </c>
      <c r="O4">
        <v>67</v>
      </c>
      <c r="P4">
        <v>47</v>
      </c>
      <c r="Q4">
        <v>64</v>
      </c>
      <c r="R4">
        <v>3</v>
      </c>
      <c r="S4" t="s">
        <v>51</v>
      </c>
      <c r="T4" t="s">
        <v>31</v>
      </c>
      <c r="U4" t="str">
        <v>Senior</v>
      </c>
      <c r="V4" t="str">
        <v>Met Target</v>
      </c>
      <c r="W4" t="str">
        <v>Normal</v>
      </c>
      <c r="X4" t="str">
        <v>Normal Review</v>
      </c>
      <c r="Y4">
        <f>VLOOKUP($L4,Lookup_Table!$A$1:$D$4,4,FALSE)</f>
        <v>0.12</v>
      </c>
      <c r="Z4">
        <f t="shared" si="0"/>
        <v>87467.16</v>
      </c>
      <c r="AA4" s="3">
        <f t="shared" si="1"/>
        <v>889202.16</v>
      </c>
      <c r="AB4">
        <f>VLOOKUP($L4,Lookup_Table!$A$2:$D$4,2,FALSE)</f>
        <v>550000</v>
      </c>
      <c r="AC4">
        <f>VLOOKUP($L4,Lookup_Table!$A$2:$D$4,3,FALSE)</f>
        <v>999999</v>
      </c>
      <c r="AD4">
        <f>VLOOKUP($L4,Lookup_Table!$A$2:$D$4,4)</f>
        <v>0.12</v>
      </c>
      <c r="AE4" t="str" cm="1">
        <f t="array" ref="AE4">IF(AA4:AA4,"Correct Band","Check Band")</f>
        <v>Correct Band</v>
      </c>
    </row>
    <row r="5" spans="1:31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s="2">
        <v>45392</v>
      </c>
      <c r="I5" s="2">
        <v>32632</v>
      </c>
      <c r="J5" t="s">
        <v>27</v>
      </c>
      <c r="K5" t="s">
        <v>28</v>
      </c>
      <c r="L5" t="s">
        <v>29</v>
      </c>
      <c r="M5" s="3">
        <v>212156</v>
      </c>
      <c r="N5" s="3">
        <v>120435</v>
      </c>
      <c r="O5">
        <v>72</v>
      </c>
      <c r="P5">
        <v>74</v>
      </c>
      <c r="Q5">
        <v>89</v>
      </c>
      <c r="R5">
        <v>1</v>
      </c>
      <c r="S5" t="s">
        <v>59</v>
      </c>
      <c r="T5" t="s">
        <v>31</v>
      </c>
      <c r="U5" t="str">
        <v>Junior</v>
      </c>
      <c r="V5" t="str">
        <v>Below Target</v>
      </c>
      <c r="W5" t="str">
        <v>Normal</v>
      </c>
      <c r="X5" t="str">
        <v>Normal Review</v>
      </c>
      <c r="Y5">
        <f>VLOOKUP($L5,Lookup_Table!$A$1:$D$4,4,FALSE)</f>
        <v>0.05</v>
      </c>
      <c r="Z5">
        <f t="shared" si="0"/>
        <v>10607.800000000001</v>
      </c>
      <c r="AA5" s="3">
        <f t="shared" si="1"/>
        <v>343198.8</v>
      </c>
      <c r="AB5">
        <f>VLOOKUP($L5,Lookup_Table!$A$2:$D$4,2,FALSE)</f>
        <v>180000</v>
      </c>
      <c r="AC5">
        <f>VLOOKUP($L5,Lookup_Table!$A$2:$D$4,3,FALSE)</f>
        <v>319999</v>
      </c>
      <c r="AD5">
        <f>VLOOKUP($L5,Lookup_Table!$A$2:$D$4,4)</f>
        <v>0.05</v>
      </c>
      <c r="AE5" t="str" cm="1">
        <f t="array" ref="AE5">IF(AA5:AA5,"Correct Band","Check Band")</f>
        <v>Correct Band</v>
      </c>
    </row>
    <row r="6" spans="1:31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s="2">
        <v>45036</v>
      </c>
      <c r="I6" s="2">
        <v>41347</v>
      </c>
      <c r="J6" t="s">
        <v>27</v>
      </c>
      <c r="K6" t="s">
        <v>67</v>
      </c>
      <c r="L6" t="s">
        <v>40</v>
      </c>
      <c r="M6" s="3">
        <v>472357</v>
      </c>
      <c r="N6" s="3">
        <v>18233</v>
      </c>
      <c r="O6">
        <v>89</v>
      </c>
      <c r="P6">
        <v>92</v>
      </c>
      <c r="Q6">
        <v>57</v>
      </c>
      <c r="R6">
        <v>10</v>
      </c>
      <c r="S6" t="s">
        <v>51</v>
      </c>
      <c r="T6" t="s">
        <v>68</v>
      </c>
      <c r="U6" t="str">
        <v>Mid_Level</v>
      </c>
      <c r="V6" t="str">
        <v>Below Target</v>
      </c>
      <c r="W6" t="str">
        <v>High Absence</v>
      </c>
      <c r="X6" t="str">
        <v>Normal Review</v>
      </c>
      <c r="Y6">
        <f>VLOOKUP($L6,Lookup_Table!$A$1:$D$4,4,FALSE)</f>
        <v>0.08</v>
      </c>
      <c r="Z6">
        <f t="shared" si="0"/>
        <v>37788.559999999998</v>
      </c>
      <c r="AA6" s="3">
        <f t="shared" si="1"/>
        <v>528378.56000000006</v>
      </c>
      <c r="AB6">
        <f>VLOOKUP($L6,Lookup_Table!$A$2:$D$4,2,FALSE)</f>
        <v>320000</v>
      </c>
      <c r="AC6">
        <f>VLOOKUP($L6,Lookup_Table!$A$2:$D$4,3,FALSE)</f>
        <v>549999</v>
      </c>
      <c r="AD6">
        <f>VLOOKUP($L6,Lookup_Table!$A$2:$D$4,4)</f>
        <v>0.08</v>
      </c>
      <c r="AE6" t="str" cm="1">
        <f t="array" ref="AE6">IF(AA6:AA6,"Correct Band","Check Band")</f>
        <v>Correct Band</v>
      </c>
    </row>
    <row r="7" spans="1:31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s="2">
        <v>44789</v>
      </c>
      <c r="I7" s="2">
        <v>32702</v>
      </c>
      <c r="J7" t="s">
        <v>27</v>
      </c>
      <c r="K7" t="s">
        <v>28</v>
      </c>
      <c r="L7" t="s">
        <v>50</v>
      </c>
      <c r="M7" s="3">
        <v>710458</v>
      </c>
      <c r="N7" s="3">
        <v>97040</v>
      </c>
      <c r="O7">
        <v>74</v>
      </c>
      <c r="P7">
        <v>71</v>
      </c>
      <c r="Q7">
        <v>77</v>
      </c>
      <c r="R7">
        <v>3</v>
      </c>
      <c r="S7" t="s">
        <v>51</v>
      </c>
      <c r="T7" t="s">
        <v>31</v>
      </c>
      <c r="U7" t="str">
        <v>Senior</v>
      </c>
      <c r="V7" t="str">
        <v>Met Target</v>
      </c>
      <c r="W7" t="str">
        <v>Normal</v>
      </c>
      <c r="X7" t="str">
        <v>Normal Review</v>
      </c>
      <c r="Y7">
        <f>VLOOKUP($L7,Lookup_Table!$A$1:$D$4,4,FALSE)</f>
        <v>0.12</v>
      </c>
      <c r="Z7">
        <f t="shared" si="0"/>
        <v>85254.959999999992</v>
      </c>
      <c r="AA7" s="3">
        <f t="shared" si="1"/>
        <v>892752.96</v>
      </c>
      <c r="AB7">
        <f>VLOOKUP($L7,Lookup_Table!$A$2:$D$4,2,FALSE)</f>
        <v>550000</v>
      </c>
      <c r="AC7">
        <f>VLOOKUP($L7,Lookup_Table!$A$2:$D$4,3,FALSE)</f>
        <v>999999</v>
      </c>
      <c r="AD7">
        <f>VLOOKUP($L7,Lookup_Table!$A$2:$D$4,4)</f>
        <v>0.12</v>
      </c>
      <c r="AE7" t="str" cm="1">
        <f t="array" ref="AE7">IF(AA7:AA7,"Correct Band","Check Band")</f>
        <v>Correct Band</v>
      </c>
    </row>
    <row r="8" spans="1:31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s="2">
        <v>44536</v>
      </c>
      <c r="I8" s="2">
        <v>39799</v>
      </c>
      <c r="J8" t="s">
        <v>49</v>
      </c>
      <c r="K8" t="s">
        <v>28</v>
      </c>
      <c r="L8" t="s">
        <v>29</v>
      </c>
      <c r="M8" s="3">
        <v>279840</v>
      </c>
      <c r="N8" s="3">
        <v>70765</v>
      </c>
      <c r="O8">
        <v>96</v>
      </c>
      <c r="P8">
        <v>91</v>
      </c>
      <c r="Q8">
        <v>95</v>
      </c>
      <c r="R8">
        <v>11</v>
      </c>
      <c r="S8" t="s">
        <v>30</v>
      </c>
      <c r="T8" t="s">
        <v>83</v>
      </c>
      <c r="U8" t="str">
        <v>Junior</v>
      </c>
      <c r="V8" t="str">
        <v>Met Target</v>
      </c>
      <c r="W8" t="str">
        <v>High Absence</v>
      </c>
      <c r="X8" t="str">
        <v>Normal Review</v>
      </c>
      <c r="Y8">
        <f>VLOOKUP($L8,Lookup_Table!$A$1:$D$4,4,FALSE)</f>
        <v>0.05</v>
      </c>
      <c r="Z8">
        <f t="shared" si="0"/>
        <v>13992</v>
      </c>
      <c r="AA8" s="3">
        <f t="shared" si="1"/>
        <v>364597</v>
      </c>
      <c r="AB8">
        <f>VLOOKUP($L8,Lookup_Table!$A$2:$D$4,2,FALSE)</f>
        <v>180000</v>
      </c>
      <c r="AC8">
        <f>VLOOKUP($L8,Lookup_Table!$A$2:$D$4,3,FALSE)</f>
        <v>319999</v>
      </c>
      <c r="AD8">
        <f>VLOOKUP($L8,Lookup_Table!$A$2:$D$4,4)</f>
        <v>0.05</v>
      </c>
      <c r="AE8" t="str" cm="1">
        <f t="array" ref="AE8">IF(AA8:AA8,"Correct Band","Check Band")</f>
        <v>Correct Band</v>
      </c>
    </row>
    <row r="9" spans="1:31" x14ac:dyDescent="0.25">
      <c r="A9" t="s">
        <v>84</v>
      </c>
      <c r="B9" t="s">
        <v>85</v>
      </c>
      <c r="C9" t="s">
        <v>86</v>
      </c>
      <c r="D9" t="s">
        <v>87</v>
      </c>
      <c r="E9" t="s">
        <v>24</v>
      </c>
      <c r="F9" t="s">
        <v>88</v>
      </c>
      <c r="G9" t="s">
        <v>26</v>
      </c>
      <c r="H9" s="2">
        <v>45164</v>
      </c>
      <c r="I9" s="2">
        <v>31964</v>
      </c>
      <c r="J9" t="s">
        <v>49</v>
      </c>
      <c r="K9" t="s">
        <v>28</v>
      </c>
      <c r="L9" t="s">
        <v>40</v>
      </c>
      <c r="M9" s="3">
        <v>489733</v>
      </c>
      <c r="N9" s="3">
        <v>17350</v>
      </c>
      <c r="O9">
        <v>64</v>
      </c>
      <c r="P9">
        <v>46</v>
      </c>
      <c r="Q9">
        <v>68</v>
      </c>
      <c r="R9">
        <v>9</v>
      </c>
      <c r="S9" t="s">
        <v>51</v>
      </c>
      <c r="T9" t="s">
        <v>83</v>
      </c>
      <c r="U9" t="str">
        <v>Mid_Level</v>
      </c>
      <c r="V9" t="str">
        <v>Met Target</v>
      </c>
      <c r="W9" t="str">
        <v>High Absence</v>
      </c>
      <c r="X9" t="str">
        <v>Normal Review</v>
      </c>
      <c r="Y9">
        <f>VLOOKUP($L9,Lookup_Table!$A$1:$D$4,4,FALSE)</f>
        <v>0.08</v>
      </c>
      <c r="Z9">
        <f t="shared" si="0"/>
        <v>39178.639999999999</v>
      </c>
      <c r="AA9" s="3">
        <f t="shared" si="1"/>
        <v>546261.64</v>
      </c>
      <c r="AB9">
        <f>VLOOKUP($L9,Lookup_Table!$A$2:$D$4,2,FALSE)</f>
        <v>320000</v>
      </c>
      <c r="AC9">
        <f>VLOOKUP($L9,Lookup_Table!$A$2:$D$4,3,FALSE)</f>
        <v>549999</v>
      </c>
      <c r="AD9">
        <f>VLOOKUP($L9,Lookup_Table!$A$2:$D$4,4)</f>
        <v>0.08</v>
      </c>
      <c r="AE9" t="str" cm="1">
        <f t="array" ref="AE9">IF(AA9:AA9,"Correct Band","Check Band")</f>
        <v>Correct Band</v>
      </c>
    </row>
    <row r="10" spans="1:31" x14ac:dyDescent="0.25">
      <c r="A10" t="s">
        <v>89</v>
      </c>
      <c r="B10" t="s">
        <v>90</v>
      </c>
      <c r="C10" t="s">
        <v>91</v>
      </c>
      <c r="D10" t="s">
        <v>92</v>
      </c>
      <c r="E10" t="s">
        <v>36</v>
      </c>
      <c r="F10" t="s">
        <v>37</v>
      </c>
      <c r="G10" t="s">
        <v>38</v>
      </c>
      <c r="H10" s="2">
        <v>45880</v>
      </c>
      <c r="I10" s="2">
        <v>37530</v>
      </c>
      <c r="J10" t="s">
        <v>27</v>
      </c>
      <c r="K10" t="s">
        <v>28</v>
      </c>
      <c r="L10" t="s">
        <v>50</v>
      </c>
      <c r="M10" s="3">
        <v>785909</v>
      </c>
      <c r="N10" s="3">
        <v>64651</v>
      </c>
      <c r="O10">
        <v>91</v>
      </c>
      <c r="P10">
        <v>100</v>
      </c>
      <c r="Q10">
        <v>90</v>
      </c>
      <c r="R10">
        <v>8</v>
      </c>
      <c r="S10" t="s">
        <v>51</v>
      </c>
      <c r="T10" t="s">
        <v>93</v>
      </c>
      <c r="U10" t="str">
        <v>Senior</v>
      </c>
      <c r="V10" t="str">
        <v>Below Target</v>
      </c>
      <c r="W10" t="str">
        <v>High Absence</v>
      </c>
      <c r="X10" t="str">
        <v>Normal Review</v>
      </c>
      <c r="Y10">
        <f>VLOOKUP($L10,Lookup_Table!$A$1:$D$4,4,FALSE)</f>
        <v>0.12</v>
      </c>
      <c r="Z10">
        <f t="shared" si="0"/>
        <v>94309.08</v>
      </c>
      <c r="AA10" s="3">
        <f t="shared" si="1"/>
        <v>944869.08</v>
      </c>
      <c r="AB10">
        <f>VLOOKUP($L10,Lookup_Table!$A$2:$D$4,2,FALSE)</f>
        <v>550000</v>
      </c>
      <c r="AC10">
        <f>VLOOKUP($L10,Lookup_Table!$A$2:$D$4,3,FALSE)</f>
        <v>999999</v>
      </c>
      <c r="AD10">
        <f>VLOOKUP($L10,Lookup_Table!$A$2:$D$4,4)</f>
        <v>0.12</v>
      </c>
      <c r="AE10" t="str" cm="1">
        <f t="array" ref="AE10">IF(AA10:AA10,"Correct Band","Check Band")</f>
        <v>Correct Band</v>
      </c>
    </row>
    <row r="11" spans="1:31" x14ac:dyDescent="0.25">
      <c r="A11" t="s">
        <v>94</v>
      </c>
      <c r="B11" t="s">
        <v>95</v>
      </c>
      <c r="C11" t="s">
        <v>96</v>
      </c>
      <c r="D11" t="s">
        <v>97</v>
      </c>
      <c r="E11" t="s">
        <v>46</v>
      </c>
      <c r="F11" t="s">
        <v>47</v>
      </c>
      <c r="G11" t="s">
        <v>48</v>
      </c>
      <c r="H11" s="2">
        <v>46226</v>
      </c>
      <c r="I11" s="2">
        <v>37591</v>
      </c>
      <c r="J11" t="s">
        <v>49</v>
      </c>
      <c r="K11" t="s">
        <v>28</v>
      </c>
      <c r="L11" t="s">
        <v>29</v>
      </c>
      <c r="M11" s="3">
        <v>256155</v>
      </c>
      <c r="N11" s="3">
        <v>12351</v>
      </c>
      <c r="O11">
        <v>73</v>
      </c>
      <c r="P11">
        <v>67</v>
      </c>
      <c r="Q11">
        <v>62</v>
      </c>
      <c r="R11">
        <v>2</v>
      </c>
      <c r="S11" t="s">
        <v>51</v>
      </c>
      <c r="T11" t="s">
        <v>41</v>
      </c>
      <c r="U11" t="str">
        <v>Junior</v>
      </c>
      <c r="V11" t="str">
        <v>Met Target</v>
      </c>
      <c r="W11" t="str">
        <v>Normal</v>
      </c>
      <c r="X11" t="str">
        <v>Normal Review</v>
      </c>
      <c r="Y11">
        <f>VLOOKUP($L11,Lookup_Table!$A$1:$D$4,4,FALSE)</f>
        <v>0.05</v>
      </c>
      <c r="Z11">
        <f t="shared" si="0"/>
        <v>12807.75</v>
      </c>
      <c r="AA11" s="3">
        <f t="shared" si="1"/>
        <v>281313.75</v>
      </c>
      <c r="AB11">
        <f>VLOOKUP($L11,Lookup_Table!$A$2:$D$4,2,FALSE)</f>
        <v>180000</v>
      </c>
      <c r="AC11">
        <f>VLOOKUP($L11,Lookup_Table!$A$2:$D$4,3,FALSE)</f>
        <v>319999</v>
      </c>
      <c r="AD11">
        <f>VLOOKUP($L11,Lookup_Table!$A$2:$D$4,4)</f>
        <v>0.05</v>
      </c>
      <c r="AE11" t="str" cm="1">
        <f t="array" ref="AE11">IF(AA11:AA11,"Correct Band","Check Band")</f>
        <v>Correct Band</v>
      </c>
    </row>
    <row r="12" spans="1:31" x14ac:dyDescent="0.25">
      <c r="A12" t="s">
        <v>98</v>
      </c>
      <c r="B12" t="s">
        <v>99</v>
      </c>
      <c r="C12" t="s">
        <v>100</v>
      </c>
      <c r="D12" t="s">
        <v>101</v>
      </c>
      <c r="E12" t="s">
        <v>56</v>
      </c>
      <c r="F12" t="s">
        <v>102</v>
      </c>
      <c r="G12" t="s">
        <v>58</v>
      </c>
      <c r="H12" s="2">
        <v>44096</v>
      </c>
      <c r="I12" s="2">
        <v>37352</v>
      </c>
      <c r="J12" t="s">
        <v>27</v>
      </c>
      <c r="K12" t="s">
        <v>39</v>
      </c>
      <c r="L12" t="s">
        <v>40</v>
      </c>
      <c r="M12" s="3">
        <v>478172</v>
      </c>
      <c r="N12" s="3">
        <v>3009</v>
      </c>
      <c r="O12">
        <v>74</v>
      </c>
      <c r="P12">
        <v>92</v>
      </c>
      <c r="Q12">
        <v>98</v>
      </c>
      <c r="R12">
        <v>11</v>
      </c>
      <c r="S12" t="s">
        <v>103</v>
      </c>
      <c r="T12" t="s">
        <v>93</v>
      </c>
      <c r="U12" t="str">
        <v>Mid_Level</v>
      </c>
      <c r="V12" t="str">
        <v>Below Target</v>
      </c>
      <c r="W12" t="str">
        <v>High Absence</v>
      </c>
      <c r="X12" t="str">
        <v>Review For Reward</v>
      </c>
      <c r="Y12">
        <f>VLOOKUP($L12,Lookup_Table!$A$1:$D$4,4,FALSE)</f>
        <v>0.08</v>
      </c>
      <c r="Z12">
        <f t="shared" si="0"/>
        <v>38253.760000000002</v>
      </c>
      <c r="AA12" s="3">
        <f t="shared" si="1"/>
        <v>519434.76</v>
      </c>
      <c r="AB12">
        <f>VLOOKUP($L12,Lookup_Table!$A$2:$D$4,2,FALSE)</f>
        <v>320000</v>
      </c>
      <c r="AC12">
        <f>VLOOKUP($L12,Lookup_Table!$A$2:$D$4,3,FALSE)</f>
        <v>549999</v>
      </c>
      <c r="AD12">
        <f>VLOOKUP($L12,Lookup_Table!$A$2:$D$4,4)</f>
        <v>0.08</v>
      </c>
      <c r="AE12" t="str" cm="1">
        <f t="array" ref="AE12">IF(AA12:AA12,"Correct Band","Check Band")</f>
        <v>Correct Band</v>
      </c>
    </row>
    <row r="13" spans="1:31" x14ac:dyDescent="0.25">
      <c r="A13" t="s">
        <v>104</v>
      </c>
      <c r="B13" t="s">
        <v>105</v>
      </c>
      <c r="C13" t="s">
        <v>106</v>
      </c>
      <c r="D13" t="s">
        <v>107</v>
      </c>
      <c r="E13" t="s">
        <v>64</v>
      </c>
      <c r="F13" t="s">
        <v>108</v>
      </c>
      <c r="G13" t="s">
        <v>66</v>
      </c>
      <c r="H13" s="2">
        <v>44928</v>
      </c>
      <c r="I13" s="2">
        <v>41549</v>
      </c>
      <c r="J13" t="s">
        <v>49</v>
      </c>
      <c r="K13" t="s">
        <v>28</v>
      </c>
      <c r="L13" t="s">
        <v>50</v>
      </c>
      <c r="M13" s="3">
        <v>798419</v>
      </c>
      <c r="N13" s="3">
        <v>118940</v>
      </c>
      <c r="O13">
        <v>71</v>
      </c>
      <c r="P13">
        <v>58</v>
      </c>
      <c r="Q13">
        <v>55</v>
      </c>
      <c r="R13">
        <v>11</v>
      </c>
      <c r="S13" t="s">
        <v>51</v>
      </c>
      <c r="T13" t="s">
        <v>93</v>
      </c>
      <c r="U13" t="str">
        <v>Senior</v>
      </c>
      <c r="V13" t="str">
        <v>Met Target</v>
      </c>
      <c r="W13" t="str">
        <v>High Absence</v>
      </c>
      <c r="X13" t="str">
        <v>Normal Review</v>
      </c>
      <c r="Y13">
        <f>VLOOKUP($L13,Lookup_Table!$A$1:$D$4,4,FALSE)</f>
        <v>0.12</v>
      </c>
      <c r="Z13">
        <f t="shared" si="0"/>
        <v>95810.28</v>
      </c>
      <c r="AA13" s="3">
        <f t="shared" si="1"/>
        <v>1013169.28</v>
      </c>
      <c r="AB13">
        <f>VLOOKUP($L13,Lookup_Table!$A$2:$D$4,2,FALSE)</f>
        <v>550000</v>
      </c>
      <c r="AC13">
        <f>VLOOKUP($L13,Lookup_Table!$A$2:$D$4,3,FALSE)</f>
        <v>999999</v>
      </c>
      <c r="AD13">
        <f>VLOOKUP($L13,Lookup_Table!$A$2:$D$4,4)</f>
        <v>0.12</v>
      </c>
      <c r="AE13" t="str" cm="1">
        <f t="array" ref="AE13">IF(AA13:AA13,"Correct Band","Check Band")</f>
        <v>Correct Band</v>
      </c>
    </row>
    <row r="14" spans="1:31" x14ac:dyDescent="0.25">
      <c r="A14" t="s">
        <v>109</v>
      </c>
      <c r="B14" t="s">
        <v>110</v>
      </c>
      <c r="C14" t="s">
        <v>111</v>
      </c>
      <c r="D14" t="s">
        <v>112</v>
      </c>
      <c r="E14" t="s">
        <v>73</v>
      </c>
      <c r="F14" t="s">
        <v>74</v>
      </c>
      <c r="G14" t="s">
        <v>75</v>
      </c>
      <c r="H14" s="2">
        <v>44567</v>
      </c>
      <c r="I14" s="2">
        <v>39365</v>
      </c>
      <c r="J14" t="s">
        <v>27</v>
      </c>
      <c r="K14" t="s">
        <v>28</v>
      </c>
      <c r="L14" t="s">
        <v>29</v>
      </c>
      <c r="M14" s="3">
        <v>299871</v>
      </c>
      <c r="N14" s="3">
        <v>98019</v>
      </c>
      <c r="O14">
        <v>56</v>
      </c>
      <c r="P14">
        <v>76</v>
      </c>
      <c r="Q14">
        <v>65</v>
      </c>
      <c r="R14">
        <v>8</v>
      </c>
      <c r="S14" t="s">
        <v>30</v>
      </c>
      <c r="T14" t="s">
        <v>31</v>
      </c>
      <c r="U14" t="str">
        <v>Junior</v>
      </c>
      <c r="V14" t="str">
        <v>Below Target</v>
      </c>
      <c r="W14" t="str">
        <v>High Absence</v>
      </c>
      <c r="X14" t="str">
        <v>Normal Review</v>
      </c>
      <c r="Y14">
        <f>VLOOKUP($L14,Lookup_Table!$A$1:$D$4,4,FALSE)</f>
        <v>0.05</v>
      </c>
      <c r="Z14">
        <f t="shared" si="0"/>
        <v>14993.550000000001</v>
      </c>
      <c r="AA14" s="3">
        <f t="shared" si="1"/>
        <v>412883.55</v>
      </c>
      <c r="AB14">
        <f>VLOOKUP($L14,Lookup_Table!$A$2:$D$4,2,FALSE)</f>
        <v>180000</v>
      </c>
      <c r="AC14">
        <f>VLOOKUP($L14,Lookup_Table!$A$2:$D$4,3,FALSE)</f>
        <v>319999</v>
      </c>
      <c r="AD14">
        <f>VLOOKUP($L14,Lookup_Table!$A$2:$D$4,4)</f>
        <v>0.05</v>
      </c>
      <c r="AE14" t="str" cm="1">
        <f t="array" ref="AE14">IF(AA14:AA14,"Correct Band","Check Band")</f>
        <v>Correct Band</v>
      </c>
    </row>
    <row r="15" spans="1:31" x14ac:dyDescent="0.25">
      <c r="A15" t="s">
        <v>113</v>
      </c>
      <c r="B15" t="s">
        <v>114</v>
      </c>
      <c r="C15" t="s">
        <v>115</v>
      </c>
      <c r="D15" t="s">
        <v>116</v>
      </c>
      <c r="E15" t="s">
        <v>80</v>
      </c>
      <c r="F15" t="s">
        <v>117</v>
      </c>
      <c r="G15" t="s">
        <v>82</v>
      </c>
      <c r="H15" s="2">
        <v>45163</v>
      </c>
      <c r="I15" s="2">
        <v>39053</v>
      </c>
      <c r="J15" t="s">
        <v>27</v>
      </c>
      <c r="K15" t="s">
        <v>28</v>
      </c>
      <c r="L15" t="s">
        <v>40</v>
      </c>
      <c r="M15" s="3">
        <v>478504</v>
      </c>
      <c r="N15" s="3">
        <v>15184</v>
      </c>
      <c r="O15">
        <v>51</v>
      </c>
      <c r="P15">
        <v>38</v>
      </c>
      <c r="Q15">
        <v>70</v>
      </c>
      <c r="R15">
        <v>9</v>
      </c>
      <c r="S15" t="s">
        <v>103</v>
      </c>
      <c r="T15" t="s">
        <v>31</v>
      </c>
      <c r="U15" t="str">
        <v>Mid_Level</v>
      </c>
      <c r="V15" t="str">
        <v>Met Target</v>
      </c>
      <c r="W15" t="str">
        <v>High Absence</v>
      </c>
      <c r="X15" t="str">
        <v>Review For Reward</v>
      </c>
      <c r="Y15">
        <f>VLOOKUP($L15,Lookup_Table!$A$1:$D$4,4,FALSE)</f>
        <v>0.08</v>
      </c>
      <c r="Z15">
        <f t="shared" si="0"/>
        <v>38280.32</v>
      </c>
      <c r="AA15" s="3">
        <f t="shared" si="1"/>
        <v>531968.31999999995</v>
      </c>
      <c r="AB15">
        <f>VLOOKUP($L15,Lookup_Table!$A$2:$D$4,2,FALSE)</f>
        <v>320000</v>
      </c>
      <c r="AC15">
        <f>VLOOKUP($L15,Lookup_Table!$A$2:$D$4,3,FALSE)</f>
        <v>549999</v>
      </c>
      <c r="AD15">
        <f>VLOOKUP($L15,Lookup_Table!$A$2:$D$4,4)</f>
        <v>0.08</v>
      </c>
      <c r="AE15" t="str" cm="1">
        <f t="array" ref="AE15">IF(AA15:AA15,"Correct Band","Check Band")</f>
        <v>Correct Band</v>
      </c>
    </row>
    <row r="16" spans="1:31" x14ac:dyDescent="0.25">
      <c r="A16" t="s">
        <v>118</v>
      </c>
      <c r="B16" t="s">
        <v>119</v>
      </c>
      <c r="C16" t="s">
        <v>22</v>
      </c>
      <c r="D16" t="s">
        <v>120</v>
      </c>
      <c r="E16" t="s">
        <v>24</v>
      </c>
      <c r="F16" t="s">
        <v>25</v>
      </c>
      <c r="G16" t="s">
        <v>26</v>
      </c>
      <c r="H16" s="2">
        <v>45826</v>
      </c>
      <c r="I16" s="2">
        <v>32181</v>
      </c>
      <c r="J16" t="s">
        <v>27</v>
      </c>
      <c r="K16" t="s">
        <v>67</v>
      </c>
      <c r="L16" t="s">
        <v>50</v>
      </c>
      <c r="M16" s="3">
        <v>795932</v>
      </c>
      <c r="N16" s="3">
        <v>124592</v>
      </c>
      <c r="O16">
        <v>98</v>
      </c>
      <c r="P16">
        <v>112</v>
      </c>
      <c r="Q16">
        <v>90</v>
      </c>
      <c r="R16">
        <v>2</v>
      </c>
      <c r="S16" t="s">
        <v>51</v>
      </c>
      <c r="T16" t="s">
        <v>93</v>
      </c>
      <c r="U16" t="str">
        <v>Senior</v>
      </c>
      <c r="V16" t="str">
        <v>Below Target</v>
      </c>
      <c r="W16" t="str">
        <v>Normal</v>
      </c>
      <c r="X16" t="str">
        <v>Normal Review</v>
      </c>
      <c r="Y16">
        <f>VLOOKUP($L16,Lookup_Table!$A$1:$D$4,4,FALSE)</f>
        <v>0.12</v>
      </c>
      <c r="Z16">
        <f t="shared" si="0"/>
        <v>95511.84</v>
      </c>
      <c r="AA16" s="3">
        <f t="shared" si="1"/>
        <v>1016035.84</v>
      </c>
      <c r="AB16">
        <f>VLOOKUP($L16,Lookup_Table!$A$2:$D$4,2,FALSE)</f>
        <v>550000</v>
      </c>
      <c r="AC16">
        <f>VLOOKUP($L16,Lookup_Table!$A$2:$D$4,3,FALSE)</f>
        <v>999999</v>
      </c>
      <c r="AD16">
        <f>VLOOKUP($L16,Lookup_Table!$A$2:$D$4,4)</f>
        <v>0.12</v>
      </c>
      <c r="AE16" t="str" cm="1">
        <f t="array" ref="AE16">IF(AA16:AA16,"Correct Band","Check Band")</f>
        <v>Correct Band</v>
      </c>
    </row>
    <row r="17" spans="1:31" x14ac:dyDescent="0.25">
      <c r="A17" t="s">
        <v>121</v>
      </c>
      <c r="B17" t="s">
        <v>122</v>
      </c>
      <c r="C17" t="s">
        <v>34</v>
      </c>
      <c r="D17" t="s">
        <v>123</v>
      </c>
      <c r="E17" t="s">
        <v>36</v>
      </c>
      <c r="F17" t="s">
        <v>37</v>
      </c>
      <c r="G17" t="s">
        <v>38</v>
      </c>
      <c r="H17" s="2">
        <v>45569</v>
      </c>
      <c r="I17" s="2">
        <v>34518</v>
      </c>
      <c r="J17" t="s">
        <v>27</v>
      </c>
      <c r="K17" t="s">
        <v>28</v>
      </c>
      <c r="L17" t="s">
        <v>29</v>
      </c>
      <c r="M17" s="3">
        <v>279507</v>
      </c>
      <c r="N17" s="3">
        <v>97889</v>
      </c>
      <c r="O17">
        <v>84</v>
      </c>
      <c r="P17">
        <v>108</v>
      </c>
      <c r="Q17">
        <v>83</v>
      </c>
      <c r="R17">
        <v>8</v>
      </c>
      <c r="S17" t="s">
        <v>59</v>
      </c>
      <c r="T17" t="s">
        <v>31</v>
      </c>
      <c r="U17" t="str">
        <v>Junior</v>
      </c>
      <c r="V17" t="str">
        <v>Below Target</v>
      </c>
      <c r="W17" t="str">
        <v>High Absence</v>
      </c>
      <c r="X17" t="str">
        <v>Normal Review</v>
      </c>
      <c r="Y17">
        <f>VLOOKUP($L17,Lookup_Table!$A$1:$D$4,4,FALSE)</f>
        <v>0.05</v>
      </c>
      <c r="Z17">
        <f t="shared" si="0"/>
        <v>13975.35</v>
      </c>
      <c r="AA17" s="3">
        <f t="shared" si="1"/>
        <v>391371.35</v>
      </c>
      <c r="AB17">
        <f>VLOOKUP($L17,Lookup_Table!$A$2:$D$4,2,FALSE)</f>
        <v>180000</v>
      </c>
      <c r="AC17">
        <f>VLOOKUP($L17,Lookup_Table!$A$2:$D$4,3,FALSE)</f>
        <v>319999</v>
      </c>
      <c r="AD17">
        <f>VLOOKUP($L17,Lookup_Table!$A$2:$D$4,4)</f>
        <v>0.05</v>
      </c>
      <c r="AE17" t="str" cm="1">
        <f t="array" ref="AE17">IF(AA17:AA17,"Correct Band","Check Band")</f>
        <v>Correct Band</v>
      </c>
    </row>
    <row r="18" spans="1:31" x14ac:dyDescent="0.25">
      <c r="A18" t="s">
        <v>124</v>
      </c>
      <c r="B18" t="s">
        <v>125</v>
      </c>
      <c r="C18" t="s">
        <v>44</v>
      </c>
      <c r="D18" t="s">
        <v>126</v>
      </c>
      <c r="E18" t="s">
        <v>46</v>
      </c>
      <c r="F18" t="s">
        <v>127</v>
      </c>
      <c r="G18" t="s">
        <v>48</v>
      </c>
      <c r="H18" s="2">
        <v>44756</v>
      </c>
      <c r="I18" s="2">
        <v>32097</v>
      </c>
      <c r="J18" t="s">
        <v>27</v>
      </c>
      <c r="K18" t="s">
        <v>39</v>
      </c>
      <c r="L18" t="s">
        <v>40</v>
      </c>
      <c r="M18" s="3">
        <v>432493</v>
      </c>
      <c r="N18" s="3">
        <v>57728</v>
      </c>
      <c r="O18">
        <v>71</v>
      </c>
      <c r="P18">
        <v>52</v>
      </c>
      <c r="Q18">
        <v>55</v>
      </c>
      <c r="R18">
        <v>1</v>
      </c>
      <c r="S18" t="s">
        <v>103</v>
      </c>
      <c r="T18" t="s">
        <v>83</v>
      </c>
      <c r="U18" t="str">
        <v>Mid_Level</v>
      </c>
      <c r="V18" t="str">
        <v>Met Target</v>
      </c>
      <c r="W18" t="str">
        <v>Normal</v>
      </c>
      <c r="X18" t="str">
        <v>Review For Reward</v>
      </c>
      <c r="Y18">
        <f>VLOOKUP($L18,Lookup_Table!$A$1:$D$4,4,FALSE)</f>
        <v>0.08</v>
      </c>
      <c r="Z18">
        <f t="shared" si="0"/>
        <v>34599.440000000002</v>
      </c>
      <c r="AA18" s="3">
        <f t="shared" si="1"/>
        <v>524820.43999999994</v>
      </c>
      <c r="AB18">
        <f>VLOOKUP($L18,Lookup_Table!$A$2:$D$4,2,FALSE)</f>
        <v>320000</v>
      </c>
      <c r="AC18">
        <f>VLOOKUP($L18,Lookup_Table!$A$2:$D$4,3,FALSE)</f>
        <v>549999</v>
      </c>
      <c r="AD18">
        <f>VLOOKUP($L18,Lookup_Table!$A$2:$D$4,4)</f>
        <v>0.08</v>
      </c>
      <c r="AE18" t="str" cm="1">
        <f t="array" ref="AE18">IF(AA18:AA18,"Correct Band","Check Band")</f>
        <v>Correct Band</v>
      </c>
    </row>
    <row r="19" spans="1:31" x14ac:dyDescent="0.25">
      <c r="A19" t="s">
        <v>128</v>
      </c>
      <c r="B19" t="s">
        <v>129</v>
      </c>
      <c r="C19" t="s">
        <v>54</v>
      </c>
      <c r="D19" t="s">
        <v>130</v>
      </c>
      <c r="E19" t="s">
        <v>56</v>
      </c>
      <c r="F19" t="s">
        <v>131</v>
      </c>
      <c r="G19" t="s">
        <v>58</v>
      </c>
      <c r="H19" s="2">
        <v>43964</v>
      </c>
      <c r="I19" s="2">
        <v>36461</v>
      </c>
      <c r="J19" t="s">
        <v>27</v>
      </c>
      <c r="K19" t="s">
        <v>67</v>
      </c>
      <c r="L19" t="s">
        <v>50</v>
      </c>
      <c r="M19" s="3">
        <v>708834</v>
      </c>
      <c r="N19" s="3">
        <v>127248</v>
      </c>
      <c r="O19">
        <v>54</v>
      </c>
      <c r="P19">
        <v>66</v>
      </c>
      <c r="Q19">
        <v>68</v>
      </c>
      <c r="R19">
        <v>8</v>
      </c>
      <c r="S19" t="s">
        <v>51</v>
      </c>
      <c r="T19" t="s">
        <v>93</v>
      </c>
      <c r="U19" t="str">
        <v>Senior</v>
      </c>
      <c r="V19" t="str">
        <v>Below Target</v>
      </c>
      <c r="W19" t="str">
        <v>High Absence</v>
      </c>
      <c r="X19" t="str">
        <v>Normal Review</v>
      </c>
      <c r="Y19">
        <f>VLOOKUP($L19,Lookup_Table!$A$1:$D$4,4,FALSE)</f>
        <v>0.12</v>
      </c>
      <c r="Z19">
        <f t="shared" si="0"/>
        <v>85060.08</v>
      </c>
      <c r="AA19" s="3">
        <f t="shared" si="1"/>
        <v>921142.08</v>
      </c>
      <c r="AB19">
        <f>VLOOKUP($L19,Lookup_Table!$A$2:$D$4,2,FALSE)</f>
        <v>550000</v>
      </c>
      <c r="AC19">
        <f>VLOOKUP($L19,Lookup_Table!$A$2:$D$4,3,FALSE)</f>
        <v>999999</v>
      </c>
      <c r="AD19">
        <f>VLOOKUP($L19,Lookup_Table!$A$2:$D$4,4)</f>
        <v>0.12</v>
      </c>
      <c r="AE19" t="str" cm="1">
        <f t="array" ref="AE19">IF(AA19:AA19,"Correct Band","Check Band")</f>
        <v>Correct Band</v>
      </c>
    </row>
    <row r="20" spans="1:31" x14ac:dyDescent="0.25">
      <c r="A20" t="s">
        <v>132</v>
      </c>
      <c r="B20" t="s">
        <v>133</v>
      </c>
      <c r="C20" t="s">
        <v>62</v>
      </c>
      <c r="D20" t="s">
        <v>134</v>
      </c>
      <c r="E20" t="s">
        <v>64</v>
      </c>
      <c r="F20" t="s">
        <v>108</v>
      </c>
      <c r="G20" t="s">
        <v>66</v>
      </c>
      <c r="H20" s="2">
        <v>45772</v>
      </c>
      <c r="I20" s="2">
        <v>35029</v>
      </c>
      <c r="J20" t="s">
        <v>27</v>
      </c>
      <c r="K20" t="s">
        <v>28</v>
      </c>
      <c r="L20" t="s">
        <v>29</v>
      </c>
      <c r="M20" s="3">
        <v>275525</v>
      </c>
      <c r="N20" s="3">
        <v>25409</v>
      </c>
      <c r="O20">
        <v>100</v>
      </c>
      <c r="P20">
        <v>110</v>
      </c>
      <c r="Q20">
        <v>97</v>
      </c>
      <c r="R20">
        <v>6</v>
      </c>
      <c r="S20" t="s">
        <v>51</v>
      </c>
      <c r="T20" t="s">
        <v>41</v>
      </c>
      <c r="U20" t="str">
        <v>Junior</v>
      </c>
      <c r="V20" t="str">
        <v>Below Target</v>
      </c>
      <c r="W20" t="str">
        <v>Normal</v>
      </c>
      <c r="X20" t="str">
        <v>Normal Review</v>
      </c>
      <c r="Y20">
        <f>VLOOKUP($L20,Lookup_Table!$A$1:$D$4,4,FALSE)</f>
        <v>0.05</v>
      </c>
      <c r="Z20">
        <f t="shared" si="0"/>
        <v>13776.25</v>
      </c>
      <c r="AA20" s="3">
        <f t="shared" si="1"/>
        <v>314710.25</v>
      </c>
      <c r="AB20">
        <f>VLOOKUP($L20,Lookup_Table!$A$2:$D$4,2,FALSE)</f>
        <v>180000</v>
      </c>
      <c r="AC20">
        <f>VLOOKUP($L20,Lookup_Table!$A$2:$D$4,3,FALSE)</f>
        <v>319999</v>
      </c>
      <c r="AD20">
        <f>VLOOKUP($L20,Lookup_Table!$A$2:$D$4,4)</f>
        <v>0.05</v>
      </c>
      <c r="AE20" t="str" cm="1">
        <f t="array" ref="AE20">IF(AA20:AA20,"Correct Band","Check Band")</f>
        <v>Correct Band</v>
      </c>
    </row>
    <row r="21" spans="1:31" x14ac:dyDescent="0.25">
      <c r="A21" t="s">
        <v>135</v>
      </c>
      <c r="B21" t="s">
        <v>136</v>
      </c>
      <c r="C21" t="s">
        <v>71</v>
      </c>
      <c r="D21" t="s">
        <v>137</v>
      </c>
      <c r="E21" t="s">
        <v>73</v>
      </c>
      <c r="F21" t="s">
        <v>138</v>
      </c>
      <c r="G21" t="s">
        <v>75</v>
      </c>
      <c r="H21" s="2">
        <v>45748</v>
      </c>
      <c r="I21" s="2">
        <v>42993</v>
      </c>
      <c r="J21" t="s">
        <v>27</v>
      </c>
      <c r="K21" t="s">
        <v>28</v>
      </c>
      <c r="L21" t="s">
        <v>40</v>
      </c>
      <c r="M21" s="3">
        <v>453883</v>
      </c>
      <c r="N21" s="3">
        <v>105544</v>
      </c>
      <c r="O21">
        <v>53</v>
      </c>
      <c r="P21">
        <v>76</v>
      </c>
      <c r="Q21">
        <v>76</v>
      </c>
      <c r="R21">
        <v>12</v>
      </c>
      <c r="S21" t="s">
        <v>103</v>
      </c>
      <c r="T21" t="s">
        <v>83</v>
      </c>
      <c r="U21" t="str">
        <v>Mid_Level</v>
      </c>
      <c r="V21" t="str">
        <v>Below Target</v>
      </c>
      <c r="W21" t="str">
        <v>High Absence</v>
      </c>
      <c r="X21" t="str">
        <v>Review For Reward</v>
      </c>
      <c r="Y21">
        <f>VLOOKUP($L21,Lookup_Table!$A$1:$D$4,4,FALSE)</f>
        <v>0.08</v>
      </c>
      <c r="Z21">
        <f t="shared" si="0"/>
        <v>36310.639999999999</v>
      </c>
      <c r="AA21" s="3">
        <f t="shared" si="1"/>
        <v>595737.64</v>
      </c>
      <c r="AB21">
        <f>VLOOKUP($L21,Lookup_Table!$A$2:$D$4,2,FALSE)</f>
        <v>320000</v>
      </c>
      <c r="AC21">
        <f>VLOOKUP($L21,Lookup_Table!$A$2:$D$4,3,FALSE)</f>
        <v>549999</v>
      </c>
      <c r="AD21">
        <f>VLOOKUP($L21,Lookup_Table!$A$2:$D$4,4)</f>
        <v>0.08</v>
      </c>
      <c r="AE21" t="str" cm="1">
        <f t="array" ref="AE21">IF(AA21:AA21,"Correct Band","Check Band")</f>
        <v>Correct Band</v>
      </c>
    </row>
    <row r="22" spans="1:31" x14ac:dyDescent="0.25">
      <c r="A22" t="s">
        <v>139</v>
      </c>
      <c r="B22" t="s">
        <v>140</v>
      </c>
      <c r="C22" t="s">
        <v>78</v>
      </c>
      <c r="D22" t="s">
        <v>141</v>
      </c>
      <c r="E22" t="s">
        <v>80</v>
      </c>
      <c r="F22" t="s">
        <v>117</v>
      </c>
      <c r="G22" t="s">
        <v>82</v>
      </c>
      <c r="H22" s="2">
        <v>44615</v>
      </c>
      <c r="I22" s="2">
        <v>39834</v>
      </c>
      <c r="J22" t="s">
        <v>27</v>
      </c>
      <c r="K22" t="s">
        <v>28</v>
      </c>
      <c r="L22" t="s">
        <v>50</v>
      </c>
      <c r="M22" s="3">
        <v>725112</v>
      </c>
      <c r="N22" s="3">
        <v>121275</v>
      </c>
      <c r="O22">
        <v>78</v>
      </c>
      <c r="P22">
        <v>66</v>
      </c>
      <c r="Q22">
        <v>70</v>
      </c>
      <c r="R22">
        <v>1</v>
      </c>
      <c r="S22" t="s">
        <v>59</v>
      </c>
      <c r="T22" t="s">
        <v>93</v>
      </c>
      <c r="U22" t="str">
        <v>Senior</v>
      </c>
      <c r="V22" t="str">
        <v>Met Target</v>
      </c>
      <c r="W22" t="str">
        <v>Normal</v>
      </c>
      <c r="X22" t="str">
        <v>Normal Review</v>
      </c>
      <c r="Y22">
        <f>VLOOKUP($L22,Lookup_Table!$A$1:$D$4,4,FALSE)</f>
        <v>0.12</v>
      </c>
      <c r="Z22">
        <f t="shared" si="0"/>
        <v>87013.440000000002</v>
      </c>
      <c r="AA22" s="3">
        <f t="shared" si="1"/>
        <v>933400.44</v>
      </c>
      <c r="AB22">
        <f>VLOOKUP($L22,Lookup_Table!$A$2:$D$4,2,FALSE)</f>
        <v>550000</v>
      </c>
      <c r="AC22">
        <f>VLOOKUP($L22,Lookup_Table!$A$2:$D$4,3,FALSE)</f>
        <v>999999</v>
      </c>
      <c r="AD22">
        <f>VLOOKUP($L22,Lookup_Table!$A$2:$D$4,4)</f>
        <v>0.12</v>
      </c>
      <c r="AE22" t="str" cm="1">
        <f t="array" ref="AE22">IF(AA22:AA22,"Correct Band","Check Band")</f>
        <v>Correct Band</v>
      </c>
    </row>
    <row r="23" spans="1:31" x14ac:dyDescent="0.25">
      <c r="A23" t="s">
        <v>142</v>
      </c>
      <c r="B23" t="s">
        <v>143</v>
      </c>
      <c r="C23" t="s">
        <v>86</v>
      </c>
      <c r="D23" t="s">
        <v>144</v>
      </c>
      <c r="E23" t="s">
        <v>24</v>
      </c>
      <c r="F23" t="s">
        <v>25</v>
      </c>
      <c r="G23" t="s">
        <v>26</v>
      </c>
      <c r="H23" s="2">
        <v>44043</v>
      </c>
      <c r="I23" s="2">
        <v>41732</v>
      </c>
      <c r="J23" t="s">
        <v>27</v>
      </c>
      <c r="K23" t="s">
        <v>28</v>
      </c>
      <c r="L23" t="s">
        <v>29</v>
      </c>
      <c r="M23" s="3">
        <v>212833</v>
      </c>
      <c r="N23" s="3">
        <v>106539</v>
      </c>
      <c r="O23">
        <v>84</v>
      </c>
      <c r="P23">
        <v>64</v>
      </c>
      <c r="Q23">
        <v>86</v>
      </c>
      <c r="R23">
        <v>7</v>
      </c>
      <c r="S23" t="s">
        <v>51</v>
      </c>
      <c r="T23" t="s">
        <v>41</v>
      </c>
      <c r="U23" t="str">
        <v>Junior</v>
      </c>
      <c r="V23" t="str">
        <v>Met Target</v>
      </c>
      <c r="W23" t="str">
        <v>Normal</v>
      </c>
      <c r="X23" t="str">
        <v>Normal Review</v>
      </c>
      <c r="Y23">
        <f>VLOOKUP($L23,Lookup_Table!$A$1:$D$4,4,FALSE)</f>
        <v>0.05</v>
      </c>
      <c r="Z23">
        <f t="shared" si="0"/>
        <v>10641.650000000001</v>
      </c>
      <c r="AA23" s="3">
        <f t="shared" si="1"/>
        <v>330013.65000000002</v>
      </c>
      <c r="AB23">
        <f>VLOOKUP($L23,Lookup_Table!$A$2:$D$4,2,FALSE)</f>
        <v>180000</v>
      </c>
      <c r="AC23">
        <f>VLOOKUP($L23,Lookup_Table!$A$2:$D$4,3,FALSE)</f>
        <v>319999</v>
      </c>
      <c r="AD23">
        <f>VLOOKUP($L23,Lookup_Table!$A$2:$D$4,4)</f>
        <v>0.05</v>
      </c>
      <c r="AE23" t="str" cm="1">
        <f t="array" ref="AE23">IF(AA23:AA23,"Correct Band","Check Band")</f>
        <v>Correct Band</v>
      </c>
    </row>
    <row r="24" spans="1:31" x14ac:dyDescent="0.25">
      <c r="A24" t="s">
        <v>145</v>
      </c>
      <c r="B24" t="s">
        <v>146</v>
      </c>
      <c r="C24" t="s">
        <v>91</v>
      </c>
      <c r="D24" t="s">
        <v>147</v>
      </c>
      <c r="E24" t="s">
        <v>36</v>
      </c>
      <c r="F24" t="s">
        <v>148</v>
      </c>
      <c r="G24" t="s">
        <v>38</v>
      </c>
      <c r="H24" s="2">
        <v>44510</v>
      </c>
      <c r="I24" s="2">
        <v>37257</v>
      </c>
      <c r="J24" t="s">
        <v>49</v>
      </c>
      <c r="K24" t="s">
        <v>28</v>
      </c>
      <c r="L24" t="s">
        <v>40</v>
      </c>
      <c r="M24" s="3">
        <v>407685</v>
      </c>
      <c r="N24" s="3">
        <v>110888</v>
      </c>
      <c r="O24">
        <v>50</v>
      </c>
      <c r="P24">
        <v>54</v>
      </c>
      <c r="Q24">
        <v>90</v>
      </c>
      <c r="R24">
        <v>10</v>
      </c>
      <c r="S24" t="s">
        <v>59</v>
      </c>
      <c r="T24" t="s">
        <v>83</v>
      </c>
      <c r="U24" t="str">
        <v>Mid_Level</v>
      </c>
      <c r="V24" t="str">
        <v>Below Target</v>
      </c>
      <c r="W24" t="str">
        <v>High Absence</v>
      </c>
      <c r="X24" t="str">
        <v>Normal Review</v>
      </c>
      <c r="Y24">
        <f>VLOOKUP($L24,Lookup_Table!$A$1:$D$4,4,FALSE)</f>
        <v>0.08</v>
      </c>
      <c r="Z24">
        <f t="shared" si="0"/>
        <v>32614.799999999999</v>
      </c>
      <c r="AA24" s="3">
        <f t="shared" si="1"/>
        <v>551187.80000000005</v>
      </c>
      <c r="AB24">
        <f>VLOOKUP($L24,Lookup_Table!$A$2:$D$4,2,FALSE)</f>
        <v>320000</v>
      </c>
      <c r="AC24">
        <f>VLOOKUP($L24,Lookup_Table!$A$2:$D$4,3,FALSE)</f>
        <v>549999</v>
      </c>
      <c r="AD24">
        <f>VLOOKUP($L24,Lookup_Table!$A$2:$D$4,4)</f>
        <v>0.08</v>
      </c>
      <c r="AE24" t="str" cm="1">
        <f t="array" ref="AE24">IF(AA24:AA24,"Correct Band","Check Band")</f>
        <v>Correct Band</v>
      </c>
    </row>
    <row r="25" spans="1:31" x14ac:dyDescent="0.25">
      <c r="A25" t="s">
        <v>149</v>
      </c>
      <c r="B25" t="s">
        <v>150</v>
      </c>
      <c r="C25" t="s">
        <v>96</v>
      </c>
      <c r="D25" t="s">
        <v>151</v>
      </c>
      <c r="E25" t="s">
        <v>46</v>
      </c>
      <c r="F25" t="s">
        <v>127</v>
      </c>
      <c r="G25" t="s">
        <v>48</v>
      </c>
      <c r="H25" s="2">
        <v>45051</v>
      </c>
      <c r="I25" s="2">
        <v>34614</v>
      </c>
      <c r="J25" t="s">
        <v>27</v>
      </c>
      <c r="K25" t="s">
        <v>67</v>
      </c>
      <c r="L25" t="s">
        <v>50</v>
      </c>
      <c r="M25" s="3">
        <v>724890</v>
      </c>
      <c r="N25" s="3">
        <v>82209</v>
      </c>
      <c r="O25">
        <v>53</v>
      </c>
      <c r="P25">
        <v>70</v>
      </c>
      <c r="Q25">
        <v>58</v>
      </c>
      <c r="R25">
        <v>0</v>
      </c>
      <c r="S25" t="s">
        <v>30</v>
      </c>
      <c r="T25" t="s">
        <v>41</v>
      </c>
      <c r="U25" t="str">
        <v>Senior</v>
      </c>
      <c r="V25" t="str">
        <v>Below Target</v>
      </c>
      <c r="W25" t="str">
        <v>Normal</v>
      </c>
      <c r="X25" t="str">
        <v>Normal Review</v>
      </c>
      <c r="Y25">
        <f>VLOOKUP($L25,Lookup_Table!$A$1:$D$4,4,FALSE)</f>
        <v>0.12</v>
      </c>
      <c r="Z25">
        <f t="shared" si="0"/>
        <v>86986.8</v>
      </c>
      <c r="AA25" s="3">
        <f t="shared" si="1"/>
        <v>894085.8</v>
      </c>
      <c r="AB25">
        <f>VLOOKUP($L25,Lookup_Table!$A$2:$D$4,2,FALSE)</f>
        <v>550000</v>
      </c>
      <c r="AC25">
        <f>VLOOKUP($L25,Lookup_Table!$A$2:$D$4,3,FALSE)</f>
        <v>999999</v>
      </c>
      <c r="AD25">
        <f>VLOOKUP($L25,Lookup_Table!$A$2:$D$4,4)</f>
        <v>0.12</v>
      </c>
      <c r="AE25" t="str" cm="1">
        <f t="array" ref="AE25">IF(AA25:AA25,"Correct Band","Check Band")</f>
        <v>Correct Band</v>
      </c>
    </row>
    <row r="26" spans="1:31" x14ac:dyDescent="0.25">
      <c r="A26" t="s">
        <v>152</v>
      </c>
      <c r="B26" t="s">
        <v>153</v>
      </c>
      <c r="C26" t="s">
        <v>100</v>
      </c>
      <c r="D26" t="s">
        <v>154</v>
      </c>
      <c r="E26" t="s">
        <v>56</v>
      </c>
      <c r="F26" t="s">
        <v>131</v>
      </c>
      <c r="G26" t="s">
        <v>58</v>
      </c>
      <c r="H26" s="2">
        <v>46011</v>
      </c>
      <c r="I26" s="2">
        <v>33627</v>
      </c>
      <c r="J26" t="s">
        <v>27</v>
      </c>
      <c r="K26" t="s">
        <v>28</v>
      </c>
      <c r="L26" t="s">
        <v>29</v>
      </c>
      <c r="M26" s="3">
        <v>265909</v>
      </c>
      <c r="N26" s="3">
        <v>17815</v>
      </c>
      <c r="O26">
        <v>53</v>
      </c>
      <c r="P26">
        <v>65</v>
      </c>
      <c r="Q26">
        <v>98</v>
      </c>
      <c r="R26">
        <v>3</v>
      </c>
      <c r="S26" t="s">
        <v>59</v>
      </c>
      <c r="T26" t="s">
        <v>31</v>
      </c>
      <c r="U26" t="str">
        <v>Junior</v>
      </c>
      <c r="V26" t="str">
        <v>Below Target</v>
      </c>
      <c r="W26" t="str">
        <v>Normal</v>
      </c>
      <c r="X26" t="str">
        <v>Normal Review</v>
      </c>
      <c r="Y26">
        <f>VLOOKUP($L26,Lookup_Table!$A$1:$D$4,4,FALSE)</f>
        <v>0.05</v>
      </c>
      <c r="Z26">
        <f t="shared" si="0"/>
        <v>13295.45</v>
      </c>
      <c r="AA26" s="3">
        <f t="shared" si="1"/>
        <v>297019.45</v>
      </c>
      <c r="AB26">
        <f>VLOOKUP($L26,Lookup_Table!$A$2:$D$4,2,FALSE)</f>
        <v>180000</v>
      </c>
      <c r="AC26">
        <f>VLOOKUP($L26,Lookup_Table!$A$2:$D$4,3,FALSE)</f>
        <v>319999</v>
      </c>
      <c r="AD26">
        <f>VLOOKUP($L26,Lookup_Table!$A$2:$D$4,4)</f>
        <v>0.05</v>
      </c>
      <c r="AE26" t="str" cm="1">
        <f t="array" ref="AE26">IF(AA26:AA26,"Correct Band","Check Band")</f>
        <v>Correct Band</v>
      </c>
    </row>
    <row r="27" spans="1:31" x14ac:dyDescent="0.25">
      <c r="A27" t="s">
        <v>155</v>
      </c>
      <c r="B27" t="s">
        <v>156</v>
      </c>
      <c r="C27" t="s">
        <v>106</v>
      </c>
      <c r="D27" t="s">
        <v>157</v>
      </c>
      <c r="E27" t="s">
        <v>64</v>
      </c>
      <c r="F27" t="s">
        <v>65</v>
      </c>
      <c r="G27" t="s">
        <v>66</v>
      </c>
      <c r="H27" s="2">
        <v>44844</v>
      </c>
      <c r="I27" s="2">
        <v>40533</v>
      </c>
      <c r="J27" t="s">
        <v>27</v>
      </c>
      <c r="K27" t="s">
        <v>28</v>
      </c>
      <c r="L27" t="s">
        <v>40</v>
      </c>
      <c r="M27" s="3">
        <v>474668</v>
      </c>
      <c r="N27" s="3">
        <v>148170</v>
      </c>
      <c r="O27">
        <v>88</v>
      </c>
      <c r="P27">
        <v>70</v>
      </c>
      <c r="Q27">
        <v>88</v>
      </c>
      <c r="R27">
        <v>5</v>
      </c>
      <c r="S27" t="s">
        <v>51</v>
      </c>
      <c r="T27" t="s">
        <v>83</v>
      </c>
      <c r="U27" t="str">
        <v>Mid_Level</v>
      </c>
      <c r="V27" t="str">
        <v>Met Target</v>
      </c>
      <c r="W27" t="str">
        <v>Normal</v>
      </c>
      <c r="X27" t="str">
        <v>Normal Review</v>
      </c>
      <c r="Y27">
        <f>VLOOKUP($L27,Lookup_Table!$A$1:$D$4,4,FALSE)</f>
        <v>0.08</v>
      </c>
      <c r="Z27">
        <f t="shared" si="0"/>
        <v>37973.440000000002</v>
      </c>
      <c r="AA27" s="3">
        <f t="shared" si="1"/>
        <v>660811.43999999994</v>
      </c>
      <c r="AB27">
        <f>VLOOKUP($L27,Lookup_Table!$A$2:$D$4,2,FALSE)</f>
        <v>320000</v>
      </c>
      <c r="AC27">
        <f>VLOOKUP($L27,Lookup_Table!$A$2:$D$4,3,FALSE)</f>
        <v>549999</v>
      </c>
      <c r="AD27">
        <f>VLOOKUP($L27,Lookup_Table!$A$2:$D$4,4)</f>
        <v>0.08</v>
      </c>
      <c r="AE27" t="str" cm="1">
        <f t="array" ref="AE27">IF(AA27:AA27,"Correct Band","Check Band")</f>
        <v>Correct Band</v>
      </c>
    </row>
    <row r="28" spans="1:31" x14ac:dyDescent="0.25">
      <c r="A28" t="s">
        <v>158</v>
      </c>
      <c r="B28" t="s">
        <v>159</v>
      </c>
      <c r="C28" t="s">
        <v>111</v>
      </c>
      <c r="D28" t="s">
        <v>160</v>
      </c>
      <c r="E28" t="s">
        <v>73</v>
      </c>
      <c r="F28" t="s">
        <v>161</v>
      </c>
      <c r="G28" t="s">
        <v>75</v>
      </c>
      <c r="H28" s="2">
        <v>45122</v>
      </c>
      <c r="I28" s="2">
        <v>34958</v>
      </c>
      <c r="J28" t="s">
        <v>27</v>
      </c>
      <c r="K28" t="s">
        <v>28</v>
      </c>
      <c r="L28" t="s">
        <v>50</v>
      </c>
      <c r="M28" s="3">
        <v>787782</v>
      </c>
      <c r="N28" s="3">
        <v>82883</v>
      </c>
      <c r="O28">
        <v>66</v>
      </c>
      <c r="P28">
        <v>71</v>
      </c>
      <c r="Q28">
        <v>59</v>
      </c>
      <c r="R28">
        <v>0</v>
      </c>
      <c r="S28" t="s">
        <v>59</v>
      </c>
      <c r="T28" t="s">
        <v>93</v>
      </c>
      <c r="U28" t="str">
        <v>Senior</v>
      </c>
      <c r="V28" t="str">
        <v>Below Target</v>
      </c>
      <c r="W28" t="str">
        <v>Normal</v>
      </c>
      <c r="X28" t="str">
        <v>Normal Review</v>
      </c>
      <c r="Y28">
        <f>VLOOKUP($L28,Lookup_Table!$A$1:$D$4,4,FALSE)</f>
        <v>0.12</v>
      </c>
      <c r="Z28">
        <f t="shared" si="0"/>
        <v>94533.84</v>
      </c>
      <c r="AA28" s="3">
        <f t="shared" si="1"/>
        <v>965198.84</v>
      </c>
      <c r="AB28">
        <f>VLOOKUP($L28,Lookup_Table!$A$2:$D$4,2,FALSE)</f>
        <v>550000</v>
      </c>
      <c r="AC28">
        <f>VLOOKUP($L28,Lookup_Table!$A$2:$D$4,3,FALSE)</f>
        <v>999999</v>
      </c>
      <c r="AD28">
        <f>VLOOKUP($L28,Lookup_Table!$A$2:$D$4,4)</f>
        <v>0.12</v>
      </c>
      <c r="AE28" t="str" cm="1">
        <f t="array" ref="AE28">IF(AA28:AA28,"Correct Band","Check Band")</f>
        <v>Correct Band</v>
      </c>
    </row>
    <row r="29" spans="1:31" x14ac:dyDescent="0.25">
      <c r="A29" t="s">
        <v>162</v>
      </c>
      <c r="B29" t="s">
        <v>163</v>
      </c>
      <c r="C29" t="s">
        <v>115</v>
      </c>
      <c r="D29" t="s">
        <v>164</v>
      </c>
      <c r="E29" t="s">
        <v>80</v>
      </c>
      <c r="F29" t="s">
        <v>165</v>
      </c>
      <c r="G29" t="s">
        <v>82</v>
      </c>
      <c r="H29" s="2">
        <v>44245</v>
      </c>
      <c r="I29" s="2">
        <v>32248</v>
      </c>
      <c r="J29" t="s">
        <v>27</v>
      </c>
      <c r="K29" t="s">
        <v>28</v>
      </c>
      <c r="L29" t="s">
        <v>29</v>
      </c>
      <c r="M29" s="3">
        <v>273792</v>
      </c>
      <c r="N29" s="3">
        <v>91490</v>
      </c>
      <c r="O29">
        <v>84</v>
      </c>
      <c r="P29">
        <v>77</v>
      </c>
      <c r="Q29">
        <v>59</v>
      </c>
      <c r="R29">
        <v>3</v>
      </c>
      <c r="S29" t="s">
        <v>51</v>
      </c>
      <c r="T29" t="s">
        <v>68</v>
      </c>
      <c r="U29" t="str">
        <v>Junior</v>
      </c>
      <c r="V29" t="str">
        <v>Met Target</v>
      </c>
      <c r="W29" t="str">
        <v>Normal</v>
      </c>
      <c r="X29" t="str">
        <v>Normal Review</v>
      </c>
      <c r="Y29">
        <f>VLOOKUP($L29,Lookup_Table!$A$1:$D$4,4,FALSE)</f>
        <v>0.05</v>
      </c>
      <c r="Z29">
        <f t="shared" si="0"/>
        <v>13689.6</v>
      </c>
      <c r="AA29" s="3">
        <f t="shared" si="1"/>
        <v>378971.6</v>
      </c>
      <c r="AB29">
        <f>VLOOKUP($L29,Lookup_Table!$A$2:$D$4,2,FALSE)</f>
        <v>180000</v>
      </c>
      <c r="AC29">
        <f>VLOOKUP($L29,Lookup_Table!$A$2:$D$4,3,FALSE)</f>
        <v>319999</v>
      </c>
      <c r="AD29">
        <f>VLOOKUP($L29,Lookup_Table!$A$2:$D$4,4)</f>
        <v>0.05</v>
      </c>
      <c r="AE29" t="str" cm="1">
        <f t="array" ref="AE29">IF(AA29:AA29,"Correct Band","Check Band")</f>
        <v>Correct Band</v>
      </c>
    </row>
    <row r="30" spans="1:31" x14ac:dyDescent="0.25">
      <c r="A30" t="s">
        <v>166</v>
      </c>
      <c r="B30" t="s">
        <v>167</v>
      </c>
      <c r="C30" t="s">
        <v>22</v>
      </c>
      <c r="D30" t="s">
        <v>168</v>
      </c>
      <c r="E30" t="s">
        <v>24</v>
      </c>
      <c r="F30" t="s">
        <v>169</v>
      </c>
      <c r="G30" t="s">
        <v>26</v>
      </c>
      <c r="H30" s="2">
        <v>45630</v>
      </c>
      <c r="I30" s="2">
        <v>39948</v>
      </c>
      <c r="J30" t="s">
        <v>27</v>
      </c>
      <c r="K30" t="s">
        <v>67</v>
      </c>
      <c r="L30" t="s">
        <v>40</v>
      </c>
      <c r="M30" s="3">
        <v>420676</v>
      </c>
      <c r="N30" s="3">
        <v>145385</v>
      </c>
      <c r="O30">
        <v>95</v>
      </c>
      <c r="P30">
        <v>94</v>
      </c>
      <c r="Q30">
        <v>74</v>
      </c>
      <c r="R30">
        <v>10</v>
      </c>
      <c r="S30" t="s">
        <v>103</v>
      </c>
      <c r="T30" t="s">
        <v>83</v>
      </c>
      <c r="U30" t="str">
        <v>Mid_Level</v>
      </c>
      <c r="V30" t="str">
        <v>Met Target</v>
      </c>
      <c r="W30" t="str">
        <v>High Absence</v>
      </c>
      <c r="X30" t="str">
        <v>Review For Reward</v>
      </c>
      <c r="Y30">
        <f>VLOOKUP($L30,Lookup_Table!$A$1:$D$4,4,FALSE)</f>
        <v>0.08</v>
      </c>
      <c r="Z30">
        <f t="shared" si="0"/>
        <v>33654.080000000002</v>
      </c>
      <c r="AA30" s="3">
        <f t="shared" si="1"/>
        <v>599715.07999999996</v>
      </c>
      <c r="AB30">
        <f>VLOOKUP($L30,Lookup_Table!$A$2:$D$4,2,FALSE)</f>
        <v>320000</v>
      </c>
      <c r="AC30">
        <f>VLOOKUP($L30,Lookup_Table!$A$2:$D$4,3,FALSE)</f>
        <v>549999</v>
      </c>
      <c r="AD30">
        <f>VLOOKUP($L30,Lookup_Table!$A$2:$D$4,4)</f>
        <v>0.08</v>
      </c>
      <c r="AE30" t="str" cm="1">
        <f t="array" ref="AE30">IF(AA30:AA30,"Correct Band","Check Band")</f>
        <v>Correct Band</v>
      </c>
    </row>
    <row r="31" spans="1:31" x14ac:dyDescent="0.25">
      <c r="A31" t="s">
        <v>170</v>
      </c>
      <c r="B31" t="s">
        <v>171</v>
      </c>
      <c r="C31" t="s">
        <v>34</v>
      </c>
      <c r="D31" t="s">
        <v>172</v>
      </c>
      <c r="E31" t="s">
        <v>36</v>
      </c>
      <c r="F31" t="s">
        <v>37</v>
      </c>
      <c r="G31" t="s">
        <v>38</v>
      </c>
      <c r="H31" s="2">
        <v>44308</v>
      </c>
      <c r="I31" s="2">
        <v>32801</v>
      </c>
      <c r="J31" t="s">
        <v>27</v>
      </c>
      <c r="K31" t="s">
        <v>28</v>
      </c>
      <c r="L31" t="s">
        <v>50</v>
      </c>
      <c r="M31" s="3">
        <v>734664</v>
      </c>
      <c r="N31" s="3">
        <v>55215</v>
      </c>
      <c r="O31">
        <v>97</v>
      </c>
      <c r="P31">
        <v>112</v>
      </c>
      <c r="Q31">
        <v>76</v>
      </c>
      <c r="R31">
        <v>3</v>
      </c>
      <c r="S31" t="s">
        <v>51</v>
      </c>
      <c r="T31" t="s">
        <v>93</v>
      </c>
      <c r="U31" t="str">
        <v>Senior</v>
      </c>
      <c r="V31" t="str">
        <v>Below Target</v>
      </c>
      <c r="W31" t="str">
        <v>Normal</v>
      </c>
      <c r="X31" t="str">
        <v>Normal Review</v>
      </c>
      <c r="Y31">
        <f>VLOOKUP($L31,Lookup_Table!$A$1:$D$4,4,FALSE)</f>
        <v>0.12</v>
      </c>
      <c r="Z31">
        <f t="shared" si="0"/>
        <v>88159.679999999993</v>
      </c>
      <c r="AA31" s="3">
        <f t="shared" si="1"/>
        <v>878038.67999999993</v>
      </c>
      <c r="AB31">
        <f>VLOOKUP($L31,Lookup_Table!$A$2:$D$4,2,FALSE)</f>
        <v>550000</v>
      </c>
      <c r="AC31">
        <f>VLOOKUP($L31,Lookup_Table!$A$2:$D$4,3,FALSE)</f>
        <v>999999</v>
      </c>
      <c r="AD31">
        <f>VLOOKUP($L31,Lookup_Table!$A$2:$D$4,4)</f>
        <v>0.12</v>
      </c>
      <c r="AE31" t="str" cm="1">
        <f t="array" ref="AE31">IF(AA31:AA31,"Correct Band","Check Band")</f>
        <v>Correct Band</v>
      </c>
    </row>
    <row r="32" spans="1:31" x14ac:dyDescent="0.25">
      <c r="A32" t="s">
        <v>173</v>
      </c>
      <c r="B32" t="s">
        <v>21</v>
      </c>
      <c r="C32" t="s">
        <v>44</v>
      </c>
      <c r="D32" t="s">
        <v>174</v>
      </c>
      <c r="E32" t="s">
        <v>46</v>
      </c>
      <c r="F32" t="s">
        <v>175</v>
      </c>
      <c r="G32" t="s">
        <v>48</v>
      </c>
      <c r="H32" s="2">
        <v>44864</v>
      </c>
      <c r="I32" s="2">
        <v>31880</v>
      </c>
      <c r="J32" t="s">
        <v>27</v>
      </c>
      <c r="K32" t="s">
        <v>28</v>
      </c>
      <c r="L32" t="s">
        <v>29</v>
      </c>
      <c r="M32" s="3">
        <v>264032</v>
      </c>
      <c r="N32" s="3">
        <v>929</v>
      </c>
      <c r="O32">
        <v>55</v>
      </c>
      <c r="P32">
        <v>75</v>
      </c>
      <c r="Q32">
        <v>76</v>
      </c>
      <c r="R32">
        <v>12</v>
      </c>
      <c r="S32" t="s">
        <v>51</v>
      </c>
      <c r="T32" t="s">
        <v>68</v>
      </c>
      <c r="U32" t="str">
        <v>Junior</v>
      </c>
      <c r="V32" t="str">
        <v>Below Target</v>
      </c>
      <c r="W32" t="str">
        <v>High Absence</v>
      </c>
      <c r="X32" t="str">
        <v>Normal Review</v>
      </c>
      <c r="Y32">
        <f>VLOOKUP($L32,Lookup_Table!$A$1:$D$4,4,FALSE)</f>
        <v>0.05</v>
      </c>
      <c r="Z32">
        <f t="shared" si="0"/>
        <v>13201.6</v>
      </c>
      <c r="AA32" s="3">
        <f t="shared" si="1"/>
        <v>278162.59999999998</v>
      </c>
      <c r="AB32">
        <f>VLOOKUP($L32,Lookup_Table!$A$2:$D$4,2,FALSE)</f>
        <v>180000</v>
      </c>
      <c r="AC32">
        <f>VLOOKUP($L32,Lookup_Table!$A$2:$D$4,3,FALSE)</f>
        <v>319999</v>
      </c>
      <c r="AD32">
        <f>VLOOKUP($L32,Lookup_Table!$A$2:$D$4,4)</f>
        <v>0.05</v>
      </c>
      <c r="AE32" t="str" cm="1">
        <f t="array" ref="AE32">IF(AA32:AA32,"Correct Band","Check Band")</f>
        <v>Correct Band</v>
      </c>
    </row>
    <row r="33" spans="1:31" x14ac:dyDescent="0.25">
      <c r="A33" t="s">
        <v>176</v>
      </c>
      <c r="B33" t="s">
        <v>33</v>
      </c>
      <c r="C33" t="s">
        <v>54</v>
      </c>
      <c r="D33" t="s">
        <v>177</v>
      </c>
      <c r="E33" t="s">
        <v>56</v>
      </c>
      <c r="F33" t="s">
        <v>57</v>
      </c>
      <c r="G33" t="s">
        <v>58</v>
      </c>
      <c r="H33" s="2">
        <v>45645</v>
      </c>
      <c r="I33" s="2">
        <v>40086</v>
      </c>
      <c r="J33" t="s">
        <v>27</v>
      </c>
      <c r="K33" t="s">
        <v>28</v>
      </c>
      <c r="L33" t="s">
        <v>40</v>
      </c>
      <c r="M33" s="3">
        <v>421178</v>
      </c>
      <c r="N33" s="3">
        <v>19724</v>
      </c>
      <c r="O33">
        <v>95</v>
      </c>
      <c r="P33">
        <v>102</v>
      </c>
      <c r="Q33">
        <v>64</v>
      </c>
      <c r="R33">
        <v>8</v>
      </c>
      <c r="S33" t="s">
        <v>103</v>
      </c>
      <c r="T33" t="s">
        <v>68</v>
      </c>
      <c r="U33" t="str">
        <v>Mid_Level</v>
      </c>
      <c r="V33" t="str">
        <v>Below Target</v>
      </c>
      <c r="W33" t="str">
        <v>High Absence</v>
      </c>
      <c r="X33" t="str">
        <v>Review For Reward</v>
      </c>
      <c r="Y33">
        <f>VLOOKUP($L33,Lookup_Table!$A$1:$D$4,4,FALSE)</f>
        <v>0.08</v>
      </c>
      <c r="Z33">
        <f t="shared" si="0"/>
        <v>33694.239999999998</v>
      </c>
      <c r="AA33" s="3">
        <f t="shared" si="1"/>
        <v>474596.24</v>
      </c>
      <c r="AB33">
        <f>VLOOKUP($L33,Lookup_Table!$A$2:$D$4,2,FALSE)</f>
        <v>320000</v>
      </c>
      <c r="AC33">
        <f>VLOOKUP($L33,Lookup_Table!$A$2:$D$4,3,FALSE)</f>
        <v>549999</v>
      </c>
      <c r="AD33">
        <f>VLOOKUP($L33,Lookup_Table!$A$2:$D$4,4)</f>
        <v>0.08</v>
      </c>
      <c r="AE33" t="str" cm="1">
        <f t="array" ref="AE33">IF(AA33:AA33,"Correct Band","Check Band")</f>
        <v>Correct Band</v>
      </c>
    </row>
    <row r="34" spans="1:31" x14ac:dyDescent="0.25">
      <c r="A34" t="s">
        <v>178</v>
      </c>
      <c r="B34" t="s">
        <v>43</v>
      </c>
      <c r="C34" t="s">
        <v>62</v>
      </c>
      <c r="D34" t="s">
        <v>179</v>
      </c>
      <c r="E34" t="s">
        <v>64</v>
      </c>
      <c r="F34" t="s">
        <v>180</v>
      </c>
      <c r="G34" t="s">
        <v>66</v>
      </c>
      <c r="H34" s="2">
        <v>46099</v>
      </c>
      <c r="I34" s="2">
        <v>33474</v>
      </c>
      <c r="J34" t="s">
        <v>27</v>
      </c>
      <c r="K34" t="s">
        <v>28</v>
      </c>
      <c r="L34" t="s">
        <v>50</v>
      </c>
      <c r="M34" s="3">
        <v>776350</v>
      </c>
      <c r="N34" s="3">
        <v>10458</v>
      </c>
      <c r="O34">
        <v>77</v>
      </c>
      <c r="P34">
        <v>65</v>
      </c>
      <c r="Q34">
        <v>77</v>
      </c>
      <c r="R34">
        <v>3</v>
      </c>
      <c r="S34" t="s">
        <v>51</v>
      </c>
      <c r="T34" t="s">
        <v>31</v>
      </c>
      <c r="U34" t="str">
        <v>Senior</v>
      </c>
      <c r="V34" t="str">
        <v>Met Target</v>
      </c>
      <c r="W34" t="str">
        <v>Normal</v>
      </c>
      <c r="X34" t="str">
        <v>Normal Review</v>
      </c>
      <c r="Y34">
        <f>VLOOKUP($L34,Lookup_Table!$A$1:$D$4,4,FALSE)</f>
        <v>0.12</v>
      </c>
      <c r="Z34">
        <f t="shared" si="0"/>
        <v>93162</v>
      </c>
      <c r="AA34" s="3">
        <f t="shared" si="1"/>
        <v>879970</v>
      </c>
      <c r="AB34">
        <f>VLOOKUP($L34,Lookup_Table!$A$2:$D$4,2,FALSE)</f>
        <v>550000</v>
      </c>
      <c r="AC34">
        <f>VLOOKUP($L34,Lookup_Table!$A$2:$D$4,3,FALSE)</f>
        <v>999999</v>
      </c>
      <c r="AD34">
        <f>VLOOKUP($L34,Lookup_Table!$A$2:$D$4,4)</f>
        <v>0.12</v>
      </c>
      <c r="AE34" t="str" cm="1">
        <f t="array" ref="AE34">IF(AA34:AA34,"Correct Band","Check Band")</f>
        <v>Correct Band</v>
      </c>
    </row>
    <row r="35" spans="1:31" x14ac:dyDescent="0.25">
      <c r="A35" t="s">
        <v>181</v>
      </c>
      <c r="B35" t="s">
        <v>53</v>
      </c>
      <c r="C35" t="s">
        <v>71</v>
      </c>
      <c r="D35" t="s">
        <v>182</v>
      </c>
      <c r="E35" t="s">
        <v>73</v>
      </c>
      <c r="F35" t="s">
        <v>161</v>
      </c>
      <c r="G35" t="s">
        <v>75</v>
      </c>
      <c r="H35" s="2">
        <v>46129</v>
      </c>
      <c r="I35" s="2">
        <v>37706</v>
      </c>
      <c r="J35" t="s">
        <v>27</v>
      </c>
      <c r="K35" t="s">
        <v>28</v>
      </c>
      <c r="L35" t="s">
        <v>29</v>
      </c>
      <c r="M35" s="3">
        <v>246357</v>
      </c>
      <c r="N35" s="3">
        <v>108080</v>
      </c>
      <c r="O35">
        <v>89</v>
      </c>
      <c r="P35">
        <v>78</v>
      </c>
      <c r="Q35">
        <v>56</v>
      </c>
      <c r="R35">
        <v>2</v>
      </c>
      <c r="S35" t="s">
        <v>51</v>
      </c>
      <c r="T35" t="s">
        <v>41</v>
      </c>
      <c r="U35" t="str">
        <v>Junior</v>
      </c>
      <c r="V35" t="str">
        <v>Met Target</v>
      </c>
      <c r="W35" t="str">
        <v>Normal</v>
      </c>
      <c r="X35" t="str">
        <v>Normal Review</v>
      </c>
      <c r="Y35">
        <f>VLOOKUP($L35,Lookup_Table!$A$1:$D$4,4,FALSE)</f>
        <v>0.05</v>
      </c>
      <c r="Z35">
        <f t="shared" si="0"/>
        <v>12317.85</v>
      </c>
      <c r="AA35" s="3">
        <f t="shared" si="1"/>
        <v>366754.85</v>
      </c>
      <c r="AB35">
        <f>VLOOKUP($L35,Lookup_Table!$A$2:$D$4,2,FALSE)</f>
        <v>180000</v>
      </c>
      <c r="AC35">
        <f>VLOOKUP($L35,Lookup_Table!$A$2:$D$4,3,FALSE)</f>
        <v>319999</v>
      </c>
      <c r="AD35">
        <f>VLOOKUP($L35,Lookup_Table!$A$2:$D$4,4)</f>
        <v>0.05</v>
      </c>
      <c r="AE35" t="str" cm="1">
        <f t="array" ref="AE35">IF(AA35:AA35,"Correct Band","Check Band")</f>
        <v>Correct Band</v>
      </c>
    </row>
    <row r="36" spans="1:31" x14ac:dyDescent="0.25">
      <c r="A36" t="s">
        <v>183</v>
      </c>
      <c r="B36" t="s">
        <v>61</v>
      </c>
      <c r="C36" t="s">
        <v>78</v>
      </c>
      <c r="D36" t="s">
        <v>184</v>
      </c>
      <c r="E36" t="s">
        <v>80</v>
      </c>
      <c r="F36" t="s">
        <v>81</v>
      </c>
      <c r="G36" t="s">
        <v>82</v>
      </c>
      <c r="H36" s="2">
        <v>44852</v>
      </c>
      <c r="I36" s="2">
        <v>35419</v>
      </c>
      <c r="J36" t="s">
        <v>49</v>
      </c>
      <c r="K36" t="s">
        <v>28</v>
      </c>
      <c r="L36" t="s">
        <v>40</v>
      </c>
      <c r="M36" s="3">
        <v>487806</v>
      </c>
      <c r="N36" s="3">
        <v>123388</v>
      </c>
      <c r="O36">
        <v>60</v>
      </c>
      <c r="P36">
        <v>84</v>
      </c>
      <c r="Q36">
        <v>69</v>
      </c>
      <c r="R36">
        <v>3</v>
      </c>
      <c r="S36" t="s">
        <v>59</v>
      </c>
      <c r="T36" t="s">
        <v>68</v>
      </c>
      <c r="U36" t="str">
        <v>Mid_Level</v>
      </c>
      <c r="V36" t="str">
        <v>Below Target</v>
      </c>
      <c r="W36" t="str">
        <v>Normal</v>
      </c>
      <c r="X36" t="str">
        <v>Normal Review</v>
      </c>
      <c r="Y36">
        <f>VLOOKUP($L36,Lookup_Table!$A$1:$D$4,4,FALSE)</f>
        <v>0.08</v>
      </c>
      <c r="Z36">
        <f t="shared" si="0"/>
        <v>39024.480000000003</v>
      </c>
      <c r="AA36" s="3">
        <f t="shared" si="1"/>
        <v>650218.48</v>
      </c>
      <c r="AB36">
        <f>VLOOKUP($L36,Lookup_Table!$A$2:$D$4,2,FALSE)</f>
        <v>320000</v>
      </c>
      <c r="AC36">
        <f>VLOOKUP($L36,Lookup_Table!$A$2:$D$4,3,FALSE)</f>
        <v>549999</v>
      </c>
      <c r="AD36">
        <f>VLOOKUP($L36,Lookup_Table!$A$2:$D$4,4)</f>
        <v>0.08</v>
      </c>
      <c r="AE36" t="str" cm="1">
        <f t="array" ref="AE36">IF(AA36:AA36,"Correct Band","Check Band")</f>
        <v>Correct Band</v>
      </c>
    </row>
    <row r="37" spans="1:31" x14ac:dyDescent="0.25">
      <c r="A37" t="s">
        <v>185</v>
      </c>
      <c r="B37" t="s">
        <v>70</v>
      </c>
      <c r="C37" t="s">
        <v>86</v>
      </c>
      <c r="D37" t="s">
        <v>186</v>
      </c>
      <c r="E37" t="s">
        <v>24</v>
      </c>
      <c r="F37" t="s">
        <v>25</v>
      </c>
      <c r="G37" t="s">
        <v>26</v>
      </c>
      <c r="H37" s="2">
        <v>44768</v>
      </c>
      <c r="I37" s="2">
        <v>34700</v>
      </c>
      <c r="J37" t="s">
        <v>49</v>
      </c>
      <c r="K37" t="s">
        <v>28</v>
      </c>
      <c r="L37" t="s">
        <v>50</v>
      </c>
      <c r="M37" s="3">
        <v>740001</v>
      </c>
      <c r="N37" s="3">
        <v>73034</v>
      </c>
      <c r="O37">
        <v>51</v>
      </c>
      <c r="P37">
        <v>73</v>
      </c>
      <c r="Q37">
        <v>59</v>
      </c>
      <c r="R37">
        <v>12</v>
      </c>
      <c r="S37" t="s">
        <v>51</v>
      </c>
      <c r="T37" t="s">
        <v>68</v>
      </c>
      <c r="U37" t="str">
        <v>Senior</v>
      </c>
      <c r="V37" t="str">
        <v>Below Target</v>
      </c>
      <c r="W37" t="str">
        <v>High Absence</v>
      </c>
      <c r="X37" t="str">
        <v>Normal Review</v>
      </c>
      <c r="Y37">
        <f>VLOOKUP($L37,Lookup_Table!$A$1:$D$4,4,FALSE)</f>
        <v>0.12</v>
      </c>
      <c r="Z37">
        <f t="shared" si="0"/>
        <v>88800.12</v>
      </c>
      <c r="AA37" s="3">
        <f t="shared" si="1"/>
        <v>901835.12</v>
      </c>
      <c r="AB37">
        <f>VLOOKUP($L37,Lookup_Table!$A$2:$D$4,2,FALSE)</f>
        <v>550000</v>
      </c>
      <c r="AC37">
        <f>VLOOKUP($L37,Lookup_Table!$A$2:$D$4,3,FALSE)</f>
        <v>999999</v>
      </c>
      <c r="AD37">
        <f>VLOOKUP($L37,Lookup_Table!$A$2:$D$4,4)</f>
        <v>0.12</v>
      </c>
      <c r="AE37" t="str" cm="1">
        <f t="array" ref="AE37">IF(AA37:AA37,"Correct Band","Check Band")</f>
        <v>Correct Band</v>
      </c>
    </row>
    <row r="38" spans="1:31" x14ac:dyDescent="0.25">
      <c r="A38" t="s">
        <v>187</v>
      </c>
      <c r="B38" t="s">
        <v>77</v>
      </c>
      <c r="C38" t="s">
        <v>91</v>
      </c>
      <c r="D38" t="s">
        <v>188</v>
      </c>
      <c r="E38" t="s">
        <v>36</v>
      </c>
      <c r="F38" t="s">
        <v>148</v>
      </c>
      <c r="G38" t="s">
        <v>38</v>
      </c>
      <c r="H38" s="2">
        <v>45922</v>
      </c>
      <c r="I38" s="2">
        <v>37596</v>
      </c>
      <c r="J38" t="s">
        <v>27</v>
      </c>
      <c r="K38" t="s">
        <v>28</v>
      </c>
      <c r="L38" t="s">
        <v>29</v>
      </c>
      <c r="M38" s="3">
        <v>284080</v>
      </c>
      <c r="N38" s="3">
        <v>68475</v>
      </c>
      <c r="O38">
        <v>93</v>
      </c>
      <c r="P38">
        <v>107</v>
      </c>
      <c r="Q38">
        <v>66</v>
      </c>
      <c r="R38">
        <v>9</v>
      </c>
      <c r="S38" t="s">
        <v>51</v>
      </c>
      <c r="T38" t="s">
        <v>31</v>
      </c>
      <c r="U38" t="str">
        <v>Junior</v>
      </c>
      <c r="V38" t="str">
        <v>Below Target</v>
      </c>
      <c r="W38" t="str">
        <v>High Absence</v>
      </c>
      <c r="X38" t="str">
        <v>Normal Review</v>
      </c>
      <c r="Y38">
        <f>VLOOKUP($L38,Lookup_Table!$A$1:$D$4,4,FALSE)</f>
        <v>0.05</v>
      </c>
      <c r="Z38">
        <f t="shared" si="0"/>
        <v>14204</v>
      </c>
      <c r="AA38" s="3">
        <f t="shared" si="1"/>
        <v>366759</v>
      </c>
      <c r="AB38">
        <f>VLOOKUP($L38,Lookup_Table!$A$2:$D$4,2,FALSE)</f>
        <v>180000</v>
      </c>
      <c r="AC38">
        <f>VLOOKUP($L38,Lookup_Table!$A$2:$D$4,3,FALSE)</f>
        <v>319999</v>
      </c>
      <c r="AD38">
        <f>VLOOKUP($L38,Lookup_Table!$A$2:$D$4,4)</f>
        <v>0.05</v>
      </c>
      <c r="AE38" t="str" cm="1">
        <f t="array" ref="AE38">IF(AA38:AA38,"Correct Band","Check Band")</f>
        <v>Correct Band</v>
      </c>
    </row>
    <row r="39" spans="1:31" x14ac:dyDescent="0.25">
      <c r="A39" t="s">
        <v>189</v>
      </c>
      <c r="B39" t="s">
        <v>85</v>
      </c>
      <c r="C39" t="s">
        <v>96</v>
      </c>
      <c r="D39" t="s">
        <v>190</v>
      </c>
      <c r="E39" t="s">
        <v>46</v>
      </c>
      <c r="F39" t="s">
        <v>175</v>
      </c>
      <c r="G39" t="s">
        <v>48</v>
      </c>
      <c r="H39" s="2">
        <v>45615</v>
      </c>
      <c r="I39" s="2">
        <v>36711</v>
      </c>
      <c r="J39" t="s">
        <v>27</v>
      </c>
      <c r="K39" t="s">
        <v>28</v>
      </c>
      <c r="L39" t="s">
        <v>40</v>
      </c>
      <c r="M39" s="3">
        <v>414208</v>
      </c>
      <c r="N39" s="3">
        <v>49828</v>
      </c>
      <c r="O39">
        <v>96</v>
      </c>
      <c r="P39">
        <v>96</v>
      </c>
      <c r="Q39">
        <v>71</v>
      </c>
      <c r="R39">
        <v>0</v>
      </c>
      <c r="S39" t="s">
        <v>59</v>
      </c>
      <c r="T39" t="s">
        <v>31</v>
      </c>
      <c r="U39" t="str">
        <v>Mid_Level</v>
      </c>
      <c r="V39" t="str">
        <v>Met Target</v>
      </c>
      <c r="W39" t="str">
        <v>Normal</v>
      </c>
      <c r="X39" t="str">
        <v>Normal Review</v>
      </c>
      <c r="Y39">
        <f>VLOOKUP($L39,Lookup_Table!$A$1:$D$4,4,FALSE)</f>
        <v>0.08</v>
      </c>
      <c r="Z39">
        <f t="shared" si="0"/>
        <v>33136.639999999999</v>
      </c>
      <c r="AA39" s="3">
        <f t="shared" si="1"/>
        <v>497172.64</v>
      </c>
      <c r="AB39">
        <f>VLOOKUP($L39,Lookup_Table!$A$2:$D$4,2,FALSE)</f>
        <v>320000</v>
      </c>
      <c r="AC39">
        <f>VLOOKUP($L39,Lookup_Table!$A$2:$D$4,3,FALSE)</f>
        <v>549999</v>
      </c>
      <c r="AD39">
        <f>VLOOKUP($L39,Lookup_Table!$A$2:$D$4,4)</f>
        <v>0.08</v>
      </c>
      <c r="AE39" t="str" cm="1">
        <f t="array" ref="AE39">IF(AA39:AA39,"Correct Band","Check Band")</f>
        <v>Correct Band</v>
      </c>
    </row>
    <row r="40" spans="1:31" x14ac:dyDescent="0.25">
      <c r="A40" t="s">
        <v>191</v>
      </c>
      <c r="B40" t="s">
        <v>90</v>
      </c>
      <c r="C40" t="s">
        <v>100</v>
      </c>
      <c r="D40" t="s">
        <v>192</v>
      </c>
      <c r="E40" t="s">
        <v>56</v>
      </c>
      <c r="F40" t="s">
        <v>131</v>
      </c>
      <c r="G40" t="s">
        <v>58</v>
      </c>
      <c r="H40" s="2">
        <v>46041</v>
      </c>
      <c r="I40" s="2">
        <v>42301</v>
      </c>
      <c r="J40" t="s">
        <v>27</v>
      </c>
      <c r="K40" t="s">
        <v>28</v>
      </c>
      <c r="L40" t="s">
        <v>50</v>
      </c>
      <c r="M40" s="3">
        <v>768146</v>
      </c>
      <c r="N40" s="3">
        <v>18343</v>
      </c>
      <c r="O40">
        <v>96</v>
      </c>
      <c r="P40">
        <v>118</v>
      </c>
      <c r="Q40">
        <v>97</v>
      </c>
      <c r="R40">
        <v>5</v>
      </c>
      <c r="S40" t="s">
        <v>30</v>
      </c>
      <c r="T40" t="s">
        <v>68</v>
      </c>
      <c r="U40" t="str">
        <v>Senior</v>
      </c>
      <c r="V40" t="str">
        <v>Below Target</v>
      </c>
      <c r="W40" t="str">
        <v>Normal</v>
      </c>
      <c r="X40" t="str">
        <v>Normal Review</v>
      </c>
      <c r="Y40">
        <f>VLOOKUP($L40,Lookup_Table!$A$1:$D$4,4,FALSE)</f>
        <v>0.12</v>
      </c>
      <c r="Z40">
        <f t="shared" si="0"/>
        <v>92177.51999999999</v>
      </c>
      <c r="AA40" s="3">
        <f t="shared" si="1"/>
        <v>878666.52</v>
      </c>
      <c r="AB40">
        <f>VLOOKUP($L40,Lookup_Table!$A$2:$D$4,2,FALSE)</f>
        <v>550000</v>
      </c>
      <c r="AC40">
        <f>VLOOKUP($L40,Lookup_Table!$A$2:$D$4,3,FALSE)</f>
        <v>999999</v>
      </c>
      <c r="AD40">
        <f>VLOOKUP($L40,Lookup_Table!$A$2:$D$4,4)</f>
        <v>0.12</v>
      </c>
      <c r="AE40" t="str" cm="1">
        <f t="array" ref="AE40">IF(AA40:AA40,"Correct Band","Check Band")</f>
        <v>Correct Band</v>
      </c>
    </row>
    <row r="41" spans="1:31" x14ac:dyDescent="0.25">
      <c r="A41" t="s">
        <v>193</v>
      </c>
      <c r="B41" t="s">
        <v>95</v>
      </c>
      <c r="C41" t="s">
        <v>106</v>
      </c>
      <c r="D41" t="s">
        <v>194</v>
      </c>
      <c r="E41" t="s">
        <v>64</v>
      </c>
      <c r="F41" t="s">
        <v>108</v>
      </c>
      <c r="G41" t="s">
        <v>66</v>
      </c>
      <c r="H41" s="2">
        <v>44346</v>
      </c>
      <c r="I41" s="2">
        <v>42840</v>
      </c>
      <c r="J41" t="s">
        <v>49</v>
      </c>
      <c r="K41" t="s">
        <v>28</v>
      </c>
      <c r="L41" t="s">
        <v>29</v>
      </c>
      <c r="M41" s="3">
        <v>286951</v>
      </c>
      <c r="N41" s="3">
        <v>105486</v>
      </c>
      <c r="O41">
        <v>69</v>
      </c>
      <c r="P41">
        <v>81</v>
      </c>
      <c r="Q41">
        <v>73</v>
      </c>
      <c r="R41">
        <v>8</v>
      </c>
      <c r="S41" t="s">
        <v>51</v>
      </c>
      <c r="T41" t="s">
        <v>83</v>
      </c>
      <c r="U41" t="str">
        <v>Junior</v>
      </c>
      <c r="V41" t="str">
        <v>Below Target</v>
      </c>
      <c r="W41" t="str">
        <v>High Absence</v>
      </c>
      <c r="X41" t="str">
        <v>Normal Review</v>
      </c>
      <c r="Y41">
        <f>VLOOKUP($L41,Lookup_Table!$A$1:$D$4,4,FALSE)</f>
        <v>0.05</v>
      </c>
      <c r="Z41">
        <f t="shared" si="0"/>
        <v>14347.550000000001</v>
      </c>
      <c r="AA41" s="3">
        <f t="shared" si="1"/>
        <v>406784.55</v>
      </c>
      <c r="AB41">
        <f>VLOOKUP($L41,Lookup_Table!$A$2:$D$4,2,FALSE)</f>
        <v>180000</v>
      </c>
      <c r="AC41">
        <f>VLOOKUP($L41,Lookup_Table!$A$2:$D$4,3,FALSE)</f>
        <v>319999</v>
      </c>
      <c r="AD41">
        <f>VLOOKUP($L41,Lookup_Table!$A$2:$D$4,4)</f>
        <v>0.05</v>
      </c>
      <c r="AE41" t="str" cm="1">
        <f t="array" ref="AE41">IF(AA41:AA41,"Correct Band","Check Band")</f>
        <v>Correct Band</v>
      </c>
    </row>
    <row r="42" spans="1:31" x14ac:dyDescent="0.25">
      <c r="A42" t="s">
        <v>195</v>
      </c>
      <c r="B42" t="s">
        <v>99</v>
      </c>
      <c r="C42" t="s">
        <v>111</v>
      </c>
      <c r="D42" t="s">
        <v>196</v>
      </c>
      <c r="E42" t="s">
        <v>73</v>
      </c>
      <c r="F42" t="s">
        <v>138</v>
      </c>
      <c r="G42" t="s">
        <v>75</v>
      </c>
      <c r="H42" s="2">
        <v>45388</v>
      </c>
      <c r="I42" s="2">
        <v>42145</v>
      </c>
      <c r="J42" t="s">
        <v>27</v>
      </c>
      <c r="K42" t="s">
        <v>28</v>
      </c>
      <c r="L42" t="s">
        <v>40</v>
      </c>
      <c r="M42" s="3">
        <v>455108</v>
      </c>
      <c r="N42" s="3">
        <v>143638</v>
      </c>
      <c r="O42">
        <v>97</v>
      </c>
      <c r="P42">
        <v>88</v>
      </c>
      <c r="Q42">
        <v>55</v>
      </c>
      <c r="R42">
        <v>4</v>
      </c>
      <c r="S42" t="s">
        <v>51</v>
      </c>
      <c r="T42" t="s">
        <v>83</v>
      </c>
      <c r="U42" t="str">
        <v>Mid_Level</v>
      </c>
      <c r="V42" t="str">
        <v>Met Target</v>
      </c>
      <c r="W42" t="str">
        <v>Normal</v>
      </c>
      <c r="X42" t="str">
        <v>Normal Review</v>
      </c>
      <c r="Y42">
        <f>VLOOKUP($L42,Lookup_Table!$A$1:$D$4,4,FALSE)</f>
        <v>0.08</v>
      </c>
      <c r="Z42">
        <f t="shared" si="0"/>
        <v>36408.639999999999</v>
      </c>
      <c r="AA42" s="3">
        <f t="shared" si="1"/>
        <v>635154.64</v>
      </c>
      <c r="AB42">
        <f>VLOOKUP($L42,Lookup_Table!$A$2:$D$4,2,FALSE)</f>
        <v>320000</v>
      </c>
      <c r="AC42">
        <f>VLOOKUP($L42,Lookup_Table!$A$2:$D$4,3,FALSE)</f>
        <v>549999</v>
      </c>
      <c r="AD42">
        <f>VLOOKUP($L42,Lookup_Table!$A$2:$D$4,4)</f>
        <v>0.08</v>
      </c>
      <c r="AE42" t="str" cm="1">
        <f t="array" ref="AE42">IF(AA42:AA42,"Correct Band","Check Band")</f>
        <v>Correct Band</v>
      </c>
    </row>
    <row r="43" spans="1:31" x14ac:dyDescent="0.25">
      <c r="A43" t="s">
        <v>197</v>
      </c>
      <c r="B43" t="s">
        <v>105</v>
      </c>
      <c r="C43" t="s">
        <v>115</v>
      </c>
      <c r="D43" t="s">
        <v>198</v>
      </c>
      <c r="E43" t="s">
        <v>80</v>
      </c>
      <c r="F43" t="s">
        <v>117</v>
      </c>
      <c r="G43" t="s">
        <v>82</v>
      </c>
      <c r="H43" s="2">
        <v>46211</v>
      </c>
      <c r="I43" s="2">
        <v>40987</v>
      </c>
      <c r="J43" t="s">
        <v>49</v>
      </c>
      <c r="K43" t="s">
        <v>28</v>
      </c>
      <c r="L43" t="s">
        <v>50</v>
      </c>
      <c r="M43" s="3">
        <v>756346</v>
      </c>
      <c r="N43" s="3">
        <v>56020</v>
      </c>
      <c r="O43">
        <v>91</v>
      </c>
      <c r="P43">
        <v>91</v>
      </c>
      <c r="Q43">
        <v>87</v>
      </c>
      <c r="R43">
        <v>7</v>
      </c>
      <c r="S43" t="s">
        <v>51</v>
      </c>
      <c r="T43" t="s">
        <v>31</v>
      </c>
      <c r="U43" t="str">
        <v>Senior</v>
      </c>
      <c r="V43" t="str">
        <v>Met Target</v>
      </c>
      <c r="W43" t="str">
        <v>Normal</v>
      </c>
      <c r="X43" t="str">
        <v>Normal Review</v>
      </c>
      <c r="Y43">
        <f>VLOOKUP($L43,Lookup_Table!$A$1:$D$4,4,FALSE)</f>
        <v>0.12</v>
      </c>
      <c r="Z43">
        <f t="shared" si="0"/>
        <v>90761.51999999999</v>
      </c>
      <c r="AA43" s="3">
        <f t="shared" si="1"/>
        <v>903127.52</v>
      </c>
      <c r="AB43">
        <f>VLOOKUP($L43,Lookup_Table!$A$2:$D$4,2,FALSE)</f>
        <v>550000</v>
      </c>
      <c r="AC43">
        <f>VLOOKUP($L43,Lookup_Table!$A$2:$D$4,3,FALSE)</f>
        <v>999999</v>
      </c>
      <c r="AD43">
        <f>VLOOKUP($L43,Lookup_Table!$A$2:$D$4,4)</f>
        <v>0.12</v>
      </c>
      <c r="AE43" t="str" cm="1">
        <f t="array" ref="AE43">IF(AA43:AA43,"Correct Band","Check Band")</f>
        <v>Correct Band</v>
      </c>
    </row>
    <row r="44" spans="1:31" x14ac:dyDescent="0.25">
      <c r="A44" t="s">
        <v>199</v>
      </c>
      <c r="B44" t="s">
        <v>110</v>
      </c>
      <c r="C44" t="s">
        <v>22</v>
      </c>
      <c r="D44" t="s">
        <v>200</v>
      </c>
      <c r="E44" t="s">
        <v>24</v>
      </c>
      <c r="F44" t="s">
        <v>88</v>
      </c>
      <c r="G44" t="s">
        <v>26</v>
      </c>
      <c r="H44" s="2">
        <v>45947</v>
      </c>
      <c r="I44" s="2">
        <v>41924</v>
      </c>
      <c r="J44" t="s">
        <v>27</v>
      </c>
      <c r="K44" t="s">
        <v>28</v>
      </c>
      <c r="L44" t="s">
        <v>29</v>
      </c>
      <c r="M44" s="3">
        <v>237196</v>
      </c>
      <c r="N44" s="3">
        <v>81374</v>
      </c>
      <c r="O44">
        <v>90</v>
      </c>
      <c r="P44">
        <v>109</v>
      </c>
      <c r="Q44">
        <v>69</v>
      </c>
      <c r="R44">
        <v>12</v>
      </c>
      <c r="S44" t="s">
        <v>51</v>
      </c>
      <c r="T44" t="s">
        <v>83</v>
      </c>
      <c r="U44" t="str">
        <v>Junior</v>
      </c>
      <c r="V44" t="str">
        <v>Below Target</v>
      </c>
      <c r="W44" t="str">
        <v>High Absence</v>
      </c>
      <c r="X44" t="str">
        <v>Normal Review</v>
      </c>
      <c r="Y44">
        <f>VLOOKUP($L44,Lookup_Table!$A$1:$D$4,4,FALSE)</f>
        <v>0.05</v>
      </c>
      <c r="Z44">
        <f t="shared" si="0"/>
        <v>11859.800000000001</v>
      </c>
      <c r="AA44" s="3">
        <f t="shared" si="1"/>
        <v>330429.8</v>
      </c>
      <c r="AB44">
        <f>VLOOKUP($L44,Lookup_Table!$A$2:$D$4,2,FALSE)</f>
        <v>180000</v>
      </c>
      <c r="AC44">
        <f>VLOOKUP($L44,Lookup_Table!$A$2:$D$4,3,FALSE)</f>
        <v>319999</v>
      </c>
      <c r="AD44">
        <f>VLOOKUP($L44,Lookup_Table!$A$2:$D$4,4)</f>
        <v>0.05</v>
      </c>
      <c r="AE44" t="str" cm="1">
        <f t="array" ref="AE44">IF(AA44:AA44,"Correct Band","Check Band")</f>
        <v>Correct Band</v>
      </c>
    </row>
    <row r="45" spans="1:31" x14ac:dyDescent="0.25">
      <c r="A45" t="s">
        <v>201</v>
      </c>
      <c r="B45" t="s">
        <v>114</v>
      </c>
      <c r="C45" t="s">
        <v>34</v>
      </c>
      <c r="D45" t="s">
        <v>202</v>
      </c>
      <c r="E45" t="s">
        <v>36</v>
      </c>
      <c r="F45" t="s">
        <v>37</v>
      </c>
      <c r="G45" t="s">
        <v>38</v>
      </c>
      <c r="H45" s="2">
        <v>44025</v>
      </c>
      <c r="I45" s="2">
        <v>35059</v>
      </c>
      <c r="J45" t="s">
        <v>49</v>
      </c>
      <c r="K45" t="s">
        <v>28</v>
      </c>
      <c r="L45" t="s">
        <v>40</v>
      </c>
      <c r="M45" s="3">
        <v>403201</v>
      </c>
      <c r="N45" s="3">
        <v>50970</v>
      </c>
      <c r="O45">
        <v>80</v>
      </c>
      <c r="P45">
        <v>99</v>
      </c>
      <c r="Q45">
        <v>79</v>
      </c>
      <c r="R45">
        <v>7</v>
      </c>
      <c r="S45" t="s">
        <v>59</v>
      </c>
      <c r="T45" t="s">
        <v>83</v>
      </c>
      <c r="U45" t="str">
        <v>Mid_Level</v>
      </c>
      <c r="V45" t="str">
        <v>Below Target</v>
      </c>
      <c r="W45" t="str">
        <v>Normal</v>
      </c>
      <c r="X45" t="str">
        <v>Normal Review</v>
      </c>
      <c r="Y45">
        <f>VLOOKUP($L45,Lookup_Table!$A$1:$D$4,4,FALSE)</f>
        <v>0.08</v>
      </c>
      <c r="Z45">
        <f t="shared" si="0"/>
        <v>32256.080000000002</v>
      </c>
      <c r="AA45" s="3">
        <f t="shared" si="1"/>
        <v>486427.08</v>
      </c>
      <c r="AB45">
        <f>VLOOKUP($L45,Lookup_Table!$A$2:$D$4,2,FALSE)</f>
        <v>320000</v>
      </c>
      <c r="AC45">
        <f>VLOOKUP($L45,Lookup_Table!$A$2:$D$4,3,FALSE)</f>
        <v>549999</v>
      </c>
      <c r="AD45">
        <f>VLOOKUP($L45,Lookup_Table!$A$2:$D$4,4)</f>
        <v>0.08</v>
      </c>
      <c r="AE45" t="str" cm="1">
        <f t="array" ref="AE45">IF(AA45:AA45,"Correct Band","Check Band")</f>
        <v>Correct Band</v>
      </c>
    </row>
    <row r="46" spans="1:31" x14ac:dyDescent="0.25">
      <c r="A46" t="s">
        <v>203</v>
      </c>
      <c r="B46" t="s">
        <v>119</v>
      </c>
      <c r="C46" t="s">
        <v>44</v>
      </c>
      <c r="D46" t="s">
        <v>204</v>
      </c>
      <c r="E46" t="s">
        <v>46</v>
      </c>
      <c r="F46" t="s">
        <v>47</v>
      </c>
      <c r="G46" t="s">
        <v>48</v>
      </c>
      <c r="H46" s="2">
        <v>43858</v>
      </c>
      <c r="I46" s="2">
        <v>32794</v>
      </c>
      <c r="J46" t="s">
        <v>27</v>
      </c>
      <c r="K46" t="s">
        <v>67</v>
      </c>
      <c r="L46" t="s">
        <v>50</v>
      </c>
      <c r="M46" s="3">
        <v>719342</v>
      </c>
      <c r="N46" s="3">
        <v>135779</v>
      </c>
      <c r="O46">
        <v>99</v>
      </c>
      <c r="P46">
        <v>106</v>
      </c>
      <c r="Q46">
        <v>84</v>
      </c>
      <c r="R46">
        <v>0</v>
      </c>
      <c r="S46" t="s">
        <v>30</v>
      </c>
      <c r="T46" t="s">
        <v>83</v>
      </c>
      <c r="U46" t="str">
        <v>Senior</v>
      </c>
      <c r="V46" t="str">
        <v>Below Target</v>
      </c>
      <c r="W46" t="str">
        <v>Normal</v>
      </c>
      <c r="X46" t="str">
        <v>Normal Review</v>
      </c>
      <c r="Y46">
        <f>VLOOKUP($L46,Lookup_Table!$A$1:$D$4,4,FALSE)</f>
        <v>0.12</v>
      </c>
      <c r="Z46">
        <f t="shared" si="0"/>
        <v>86321.04</v>
      </c>
      <c r="AA46" s="3">
        <f t="shared" si="1"/>
        <v>941442.04</v>
      </c>
      <c r="AB46">
        <f>VLOOKUP($L46,Lookup_Table!$A$2:$D$4,2,FALSE)</f>
        <v>550000</v>
      </c>
      <c r="AC46">
        <f>VLOOKUP($L46,Lookup_Table!$A$2:$D$4,3,FALSE)</f>
        <v>999999</v>
      </c>
      <c r="AD46">
        <f>VLOOKUP($L46,Lookup_Table!$A$2:$D$4,4)</f>
        <v>0.12</v>
      </c>
      <c r="AE46" t="str" cm="1">
        <f t="array" ref="AE46">IF(AA46:AA46,"Correct Band","Check Band")</f>
        <v>Correct Band</v>
      </c>
    </row>
    <row r="47" spans="1:31" x14ac:dyDescent="0.25">
      <c r="A47" t="s">
        <v>205</v>
      </c>
      <c r="B47" t="s">
        <v>122</v>
      </c>
      <c r="C47" t="s">
        <v>54</v>
      </c>
      <c r="D47" t="s">
        <v>206</v>
      </c>
      <c r="E47" t="s">
        <v>56</v>
      </c>
      <c r="F47" t="s">
        <v>57</v>
      </c>
      <c r="G47" t="s">
        <v>58</v>
      </c>
      <c r="H47" s="2">
        <v>45705</v>
      </c>
      <c r="I47" s="2">
        <v>33232</v>
      </c>
      <c r="J47" t="s">
        <v>27</v>
      </c>
      <c r="K47" t="s">
        <v>28</v>
      </c>
      <c r="L47" t="s">
        <v>29</v>
      </c>
      <c r="M47" s="3">
        <v>215906</v>
      </c>
      <c r="N47" s="3">
        <v>132324</v>
      </c>
      <c r="O47">
        <v>79</v>
      </c>
      <c r="P47">
        <v>101</v>
      </c>
      <c r="Q47">
        <v>82</v>
      </c>
      <c r="R47">
        <v>8</v>
      </c>
      <c r="S47" t="s">
        <v>59</v>
      </c>
      <c r="T47" t="s">
        <v>83</v>
      </c>
      <c r="U47" t="str">
        <v>Junior</v>
      </c>
      <c r="V47" t="str">
        <v>Below Target</v>
      </c>
      <c r="W47" t="str">
        <v>High Absence</v>
      </c>
      <c r="X47" t="str">
        <v>Normal Review</v>
      </c>
      <c r="Y47">
        <f>VLOOKUP($L47,Lookup_Table!$A$1:$D$4,4,FALSE)</f>
        <v>0.05</v>
      </c>
      <c r="Z47">
        <f t="shared" si="0"/>
        <v>10795.300000000001</v>
      </c>
      <c r="AA47" s="3">
        <f t="shared" si="1"/>
        <v>359025.3</v>
      </c>
      <c r="AB47">
        <f>VLOOKUP($L47,Lookup_Table!$A$2:$D$4,2,FALSE)</f>
        <v>180000</v>
      </c>
      <c r="AC47">
        <f>VLOOKUP($L47,Lookup_Table!$A$2:$D$4,3,FALSE)</f>
        <v>319999</v>
      </c>
      <c r="AD47">
        <f>VLOOKUP($L47,Lookup_Table!$A$2:$D$4,4)</f>
        <v>0.05</v>
      </c>
      <c r="AE47" t="str" cm="1">
        <f t="array" ref="AE47">IF(AA47:AA47,"Correct Band","Check Band")</f>
        <v>Correct Band</v>
      </c>
    </row>
    <row r="48" spans="1:31" x14ac:dyDescent="0.25">
      <c r="A48" t="s">
        <v>207</v>
      </c>
      <c r="B48" t="s">
        <v>125</v>
      </c>
      <c r="C48" t="s">
        <v>62</v>
      </c>
      <c r="D48" t="s">
        <v>208</v>
      </c>
      <c r="E48" t="s">
        <v>64</v>
      </c>
      <c r="F48" t="s">
        <v>65</v>
      </c>
      <c r="G48" t="s">
        <v>66</v>
      </c>
      <c r="H48" s="2">
        <v>45780</v>
      </c>
      <c r="I48" s="2">
        <v>38421</v>
      </c>
      <c r="J48" t="s">
        <v>27</v>
      </c>
      <c r="K48" t="s">
        <v>39</v>
      </c>
      <c r="L48" t="s">
        <v>40</v>
      </c>
      <c r="M48" s="3">
        <v>497472</v>
      </c>
      <c r="N48" s="3">
        <v>127034</v>
      </c>
      <c r="O48">
        <v>66</v>
      </c>
      <c r="P48">
        <v>61</v>
      </c>
      <c r="Q48">
        <v>95</v>
      </c>
      <c r="R48">
        <v>3</v>
      </c>
      <c r="S48" t="s">
        <v>51</v>
      </c>
      <c r="T48" t="s">
        <v>41</v>
      </c>
      <c r="U48" t="str">
        <v>Mid_Level</v>
      </c>
      <c r="V48" t="str">
        <v>Met Target</v>
      </c>
      <c r="W48" t="str">
        <v>Normal</v>
      </c>
      <c r="X48" t="str">
        <v>Normal Review</v>
      </c>
      <c r="Y48">
        <f>VLOOKUP($L48,Lookup_Table!$A$1:$D$4,4,FALSE)</f>
        <v>0.08</v>
      </c>
      <c r="Z48">
        <f t="shared" si="0"/>
        <v>39797.760000000002</v>
      </c>
      <c r="AA48" s="3">
        <f t="shared" si="1"/>
        <v>664303.76</v>
      </c>
      <c r="AB48">
        <f>VLOOKUP($L48,Lookup_Table!$A$2:$D$4,2,FALSE)</f>
        <v>320000</v>
      </c>
      <c r="AC48">
        <f>VLOOKUP($L48,Lookup_Table!$A$2:$D$4,3,FALSE)</f>
        <v>549999</v>
      </c>
      <c r="AD48">
        <f>VLOOKUP($L48,Lookup_Table!$A$2:$D$4,4)</f>
        <v>0.08</v>
      </c>
      <c r="AE48" t="str" cm="1">
        <f t="array" ref="AE48">IF(AA48:AA48,"Correct Band","Check Band")</f>
        <v>Correct Band</v>
      </c>
    </row>
    <row r="49" spans="1:31" x14ac:dyDescent="0.25">
      <c r="A49" t="s">
        <v>209</v>
      </c>
      <c r="B49" t="s">
        <v>129</v>
      </c>
      <c r="C49" t="s">
        <v>71</v>
      </c>
      <c r="D49" t="s">
        <v>210</v>
      </c>
      <c r="E49" t="s">
        <v>73</v>
      </c>
      <c r="F49" t="s">
        <v>74</v>
      </c>
      <c r="G49" t="s">
        <v>75</v>
      </c>
      <c r="H49" s="2">
        <v>45006</v>
      </c>
      <c r="I49" s="2">
        <v>34889</v>
      </c>
      <c r="J49" t="s">
        <v>27</v>
      </c>
      <c r="K49" t="s">
        <v>28</v>
      </c>
      <c r="L49" t="s">
        <v>50</v>
      </c>
      <c r="M49" s="3">
        <v>710155</v>
      </c>
      <c r="N49" s="3">
        <v>39539</v>
      </c>
      <c r="O49">
        <v>67</v>
      </c>
      <c r="P49">
        <v>68</v>
      </c>
      <c r="Q49">
        <v>69</v>
      </c>
      <c r="R49">
        <v>6</v>
      </c>
      <c r="S49" t="s">
        <v>51</v>
      </c>
      <c r="T49" t="s">
        <v>83</v>
      </c>
      <c r="U49" t="str">
        <v>Senior</v>
      </c>
      <c r="V49" t="str">
        <v>Below Target</v>
      </c>
      <c r="W49" t="str">
        <v>Normal</v>
      </c>
      <c r="X49" t="str">
        <v>Normal Review</v>
      </c>
      <c r="Y49">
        <f>VLOOKUP($L49,Lookup_Table!$A$1:$D$4,4,FALSE)</f>
        <v>0.12</v>
      </c>
      <c r="Z49">
        <f t="shared" si="0"/>
        <v>85218.599999999991</v>
      </c>
      <c r="AA49" s="3">
        <f t="shared" si="1"/>
        <v>834912.6</v>
      </c>
      <c r="AB49">
        <f>VLOOKUP($L49,Lookup_Table!$A$2:$D$4,2,FALSE)</f>
        <v>550000</v>
      </c>
      <c r="AC49">
        <f>VLOOKUP($L49,Lookup_Table!$A$2:$D$4,3,FALSE)</f>
        <v>999999</v>
      </c>
      <c r="AD49">
        <f>VLOOKUP($L49,Lookup_Table!$A$2:$D$4,4)</f>
        <v>0.12</v>
      </c>
      <c r="AE49" t="str" cm="1">
        <f t="array" ref="AE49">IF(AA49:AA49,"Correct Band","Check Band")</f>
        <v>Correct Band</v>
      </c>
    </row>
    <row r="50" spans="1:31" x14ac:dyDescent="0.25">
      <c r="A50" t="s">
        <v>211</v>
      </c>
      <c r="B50" t="s">
        <v>133</v>
      </c>
      <c r="C50" t="s">
        <v>78</v>
      </c>
      <c r="D50" t="s">
        <v>212</v>
      </c>
      <c r="E50" t="s">
        <v>80</v>
      </c>
      <c r="F50" t="s">
        <v>117</v>
      </c>
      <c r="G50" t="s">
        <v>82</v>
      </c>
      <c r="H50" s="2">
        <v>45535</v>
      </c>
      <c r="I50" s="2">
        <v>37726</v>
      </c>
      <c r="J50" t="s">
        <v>49</v>
      </c>
      <c r="K50" t="s">
        <v>28</v>
      </c>
      <c r="L50" t="s">
        <v>29</v>
      </c>
      <c r="M50" s="3">
        <v>208418</v>
      </c>
      <c r="N50" s="3">
        <v>54220</v>
      </c>
      <c r="O50">
        <v>71</v>
      </c>
      <c r="P50">
        <v>85</v>
      </c>
      <c r="Q50">
        <v>81</v>
      </c>
      <c r="R50">
        <v>6</v>
      </c>
      <c r="S50" t="s">
        <v>30</v>
      </c>
      <c r="T50" t="s">
        <v>31</v>
      </c>
      <c r="U50" t="str">
        <v>Junior</v>
      </c>
      <c r="V50" t="str">
        <v>Below Target</v>
      </c>
      <c r="W50" t="str">
        <v>Normal</v>
      </c>
      <c r="X50" t="str">
        <v>Normal Review</v>
      </c>
      <c r="Y50">
        <f>VLOOKUP($L50,Lookup_Table!$A$1:$D$4,4,FALSE)</f>
        <v>0.05</v>
      </c>
      <c r="Z50">
        <f t="shared" si="0"/>
        <v>10420.900000000001</v>
      </c>
      <c r="AA50" s="3">
        <f t="shared" si="1"/>
        <v>273058.90000000002</v>
      </c>
      <c r="AB50">
        <f>VLOOKUP($L50,Lookup_Table!$A$2:$D$4,2,FALSE)</f>
        <v>180000</v>
      </c>
      <c r="AC50">
        <f>VLOOKUP($L50,Lookup_Table!$A$2:$D$4,3,FALSE)</f>
        <v>319999</v>
      </c>
      <c r="AD50">
        <f>VLOOKUP($L50,Lookup_Table!$A$2:$D$4,4)</f>
        <v>0.05</v>
      </c>
      <c r="AE50" t="str" cm="1">
        <f t="array" ref="AE50">IF(AA50:AA50,"Correct Band","Check Band")</f>
        <v>Correct Band</v>
      </c>
    </row>
    <row r="51" spans="1:31" x14ac:dyDescent="0.25">
      <c r="A51" t="s">
        <v>213</v>
      </c>
      <c r="B51" t="s">
        <v>136</v>
      </c>
      <c r="C51" t="s">
        <v>86</v>
      </c>
      <c r="D51" t="s">
        <v>214</v>
      </c>
      <c r="E51" t="s">
        <v>24</v>
      </c>
      <c r="F51" t="s">
        <v>88</v>
      </c>
      <c r="G51" t="s">
        <v>26</v>
      </c>
      <c r="H51" s="2">
        <v>45394</v>
      </c>
      <c r="I51" s="2">
        <v>38862</v>
      </c>
      <c r="J51" t="s">
        <v>49</v>
      </c>
      <c r="K51" t="s">
        <v>28</v>
      </c>
      <c r="L51" t="s">
        <v>40</v>
      </c>
      <c r="M51" s="3">
        <v>475456</v>
      </c>
      <c r="N51" s="3">
        <v>141091</v>
      </c>
      <c r="O51">
        <v>50</v>
      </c>
      <c r="P51">
        <v>52</v>
      </c>
      <c r="Q51">
        <v>89</v>
      </c>
      <c r="R51">
        <v>12</v>
      </c>
      <c r="S51" t="s">
        <v>30</v>
      </c>
      <c r="T51" t="s">
        <v>83</v>
      </c>
      <c r="U51" t="str">
        <v>Mid_Level</v>
      </c>
      <c r="V51" t="str">
        <v>Below Target</v>
      </c>
      <c r="W51" t="str">
        <v>High Absence</v>
      </c>
      <c r="X51" t="str">
        <v>Normal Review</v>
      </c>
      <c r="Y51">
        <f>VLOOKUP($L51,Lookup_Table!$A$1:$D$4,4,FALSE)</f>
        <v>0.08</v>
      </c>
      <c r="Z51">
        <f t="shared" si="0"/>
        <v>38036.480000000003</v>
      </c>
      <c r="AA51" s="3">
        <f t="shared" si="1"/>
        <v>654583.48</v>
      </c>
      <c r="AB51">
        <f>VLOOKUP($L51,Lookup_Table!$A$2:$D$4,2,FALSE)</f>
        <v>320000</v>
      </c>
      <c r="AC51">
        <f>VLOOKUP($L51,Lookup_Table!$A$2:$D$4,3,FALSE)</f>
        <v>549999</v>
      </c>
      <c r="AD51">
        <f>VLOOKUP($L51,Lookup_Table!$A$2:$D$4,4)</f>
        <v>0.08</v>
      </c>
      <c r="AE51" t="str" cm="1">
        <f t="array" ref="AE51">IF(AA51:AA51,"Correct Band","Check Band")</f>
        <v>Correct Band</v>
      </c>
    </row>
    <row r="52" spans="1:31" x14ac:dyDescent="0.25">
      <c r="A52" t="s">
        <v>215</v>
      </c>
      <c r="B52" t="s">
        <v>140</v>
      </c>
      <c r="C52" t="s">
        <v>91</v>
      </c>
      <c r="D52" t="s">
        <v>216</v>
      </c>
      <c r="E52" t="s">
        <v>36</v>
      </c>
      <c r="F52" t="s">
        <v>37</v>
      </c>
      <c r="G52" t="s">
        <v>38</v>
      </c>
      <c r="H52" s="2">
        <v>44734</v>
      </c>
      <c r="I52" s="2">
        <v>35519</v>
      </c>
      <c r="J52" t="s">
        <v>49</v>
      </c>
      <c r="K52" t="s">
        <v>28</v>
      </c>
      <c r="L52" t="s">
        <v>50</v>
      </c>
      <c r="M52" s="3">
        <v>763993</v>
      </c>
      <c r="N52" s="3">
        <v>105989</v>
      </c>
      <c r="O52">
        <v>77</v>
      </c>
      <c r="P52">
        <v>88</v>
      </c>
      <c r="Q52">
        <v>65</v>
      </c>
      <c r="R52">
        <v>7</v>
      </c>
      <c r="S52" t="s">
        <v>51</v>
      </c>
      <c r="T52" t="s">
        <v>93</v>
      </c>
      <c r="U52" t="str">
        <v>Senior</v>
      </c>
      <c r="V52" t="str">
        <v>Below Target</v>
      </c>
      <c r="W52" t="str">
        <v>Normal</v>
      </c>
      <c r="X52" t="str">
        <v>Normal Review</v>
      </c>
      <c r="Y52">
        <f>VLOOKUP($L52,Lookup_Table!$A$1:$D$4,4,FALSE)</f>
        <v>0.12</v>
      </c>
      <c r="Z52">
        <f t="shared" si="0"/>
        <v>91679.16</v>
      </c>
      <c r="AA52" s="3">
        <f t="shared" si="1"/>
        <v>961661.16</v>
      </c>
      <c r="AB52">
        <f>VLOOKUP($L52,Lookup_Table!$A$2:$D$4,2,FALSE)</f>
        <v>550000</v>
      </c>
      <c r="AC52">
        <f>VLOOKUP($L52,Lookup_Table!$A$2:$D$4,3,FALSE)</f>
        <v>999999</v>
      </c>
      <c r="AD52">
        <f>VLOOKUP($L52,Lookup_Table!$A$2:$D$4,4)</f>
        <v>0.12</v>
      </c>
      <c r="AE52" t="str" cm="1">
        <f t="array" ref="AE52">IF(AA52:AA52,"Correct Band","Check Band")</f>
        <v>Correct Band</v>
      </c>
    </row>
    <row r="53" spans="1:31" x14ac:dyDescent="0.25">
      <c r="A53" t="s">
        <v>217</v>
      </c>
      <c r="B53" t="s">
        <v>143</v>
      </c>
      <c r="C53" t="s">
        <v>96</v>
      </c>
      <c r="D53" t="s">
        <v>218</v>
      </c>
      <c r="E53" t="s">
        <v>46</v>
      </c>
      <c r="F53" t="s">
        <v>127</v>
      </c>
      <c r="G53" t="s">
        <v>48</v>
      </c>
      <c r="H53" s="2">
        <v>43946</v>
      </c>
      <c r="I53" s="2">
        <v>37503</v>
      </c>
      <c r="J53" t="s">
        <v>27</v>
      </c>
      <c r="K53" t="s">
        <v>28</v>
      </c>
      <c r="L53" t="s">
        <v>29</v>
      </c>
      <c r="M53" s="3">
        <v>270008</v>
      </c>
      <c r="N53" s="3">
        <v>112358</v>
      </c>
      <c r="O53">
        <v>87</v>
      </c>
      <c r="P53">
        <v>103</v>
      </c>
      <c r="Q53">
        <v>63</v>
      </c>
      <c r="R53">
        <v>7</v>
      </c>
      <c r="S53" t="s">
        <v>51</v>
      </c>
      <c r="T53" t="s">
        <v>31</v>
      </c>
      <c r="U53" t="str">
        <v>Junior</v>
      </c>
      <c r="V53" t="str">
        <v>Below Target</v>
      </c>
      <c r="W53" t="str">
        <v>Normal</v>
      </c>
      <c r="X53" t="str">
        <v>Normal Review</v>
      </c>
      <c r="Y53">
        <f>VLOOKUP($L53,Lookup_Table!$A$1:$D$4,4,FALSE)</f>
        <v>0.05</v>
      </c>
      <c r="Z53">
        <f t="shared" si="0"/>
        <v>13500.400000000001</v>
      </c>
      <c r="AA53" s="3">
        <f t="shared" si="1"/>
        <v>395866.4</v>
      </c>
      <c r="AB53">
        <f>VLOOKUP($L53,Lookup_Table!$A$2:$D$4,2,FALSE)</f>
        <v>180000</v>
      </c>
      <c r="AC53">
        <f>VLOOKUP($L53,Lookup_Table!$A$2:$D$4,3,FALSE)</f>
        <v>319999</v>
      </c>
      <c r="AD53">
        <f>VLOOKUP($L53,Lookup_Table!$A$2:$D$4,4)</f>
        <v>0.05</v>
      </c>
      <c r="AE53" t="str" cm="1">
        <f t="array" ref="AE53">IF(AA53:AA53,"Correct Band","Check Band")</f>
        <v>Correct Band</v>
      </c>
    </row>
    <row r="54" spans="1:31" x14ac:dyDescent="0.25">
      <c r="A54" t="s">
        <v>219</v>
      </c>
      <c r="B54" t="s">
        <v>146</v>
      </c>
      <c r="C54" t="s">
        <v>100</v>
      </c>
      <c r="D54" t="s">
        <v>220</v>
      </c>
      <c r="E54" t="s">
        <v>56</v>
      </c>
      <c r="F54" t="s">
        <v>102</v>
      </c>
      <c r="G54" t="s">
        <v>58</v>
      </c>
      <c r="H54" s="2">
        <v>45388</v>
      </c>
      <c r="I54" s="2">
        <v>36411</v>
      </c>
      <c r="J54" t="s">
        <v>27</v>
      </c>
      <c r="K54" t="s">
        <v>28</v>
      </c>
      <c r="L54" t="s">
        <v>40</v>
      </c>
      <c r="M54" s="3">
        <v>434099</v>
      </c>
      <c r="N54" s="3">
        <v>72943</v>
      </c>
      <c r="O54">
        <v>63</v>
      </c>
      <c r="P54">
        <v>72</v>
      </c>
      <c r="Q54">
        <v>81</v>
      </c>
      <c r="R54">
        <v>4</v>
      </c>
      <c r="S54" t="s">
        <v>103</v>
      </c>
      <c r="T54" t="s">
        <v>41</v>
      </c>
      <c r="U54" t="str">
        <v>Mid_Level</v>
      </c>
      <c r="V54" t="str">
        <v>Below Target</v>
      </c>
      <c r="W54" t="str">
        <v>Normal</v>
      </c>
      <c r="X54" t="str">
        <v>Review For Reward</v>
      </c>
      <c r="Y54">
        <f>VLOOKUP($L54,Lookup_Table!$A$1:$D$4,4,FALSE)</f>
        <v>0.08</v>
      </c>
      <c r="Z54">
        <f t="shared" si="0"/>
        <v>34727.919999999998</v>
      </c>
      <c r="AA54" s="3">
        <f t="shared" si="1"/>
        <v>541769.92000000004</v>
      </c>
      <c r="AB54">
        <f>VLOOKUP($L54,Lookup_Table!$A$2:$D$4,2,FALSE)</f>
        <v>320000</v>
      </c>
      <c r="AC54">
        <f>VLOOKUP($L54,Lookup_Table!$A$2:$D$4,3,FALSE)</f>
        <v>549999</v>
      </c>
      <c r="AD54">
        <f>VLOOKUP($L54,Lookup_Table!$A$2:$D$4,4)</f>
        <v>0.08</v>
      </c>
      <c r="AE54" t="str" cm="1">
        <f t="array" ref="AE54">IF(AA54:AA54,"Correct Band","Check Band")</f>
        <v>Correct Band</v>
      </c>
    </row>
    <row r="55" spans="1:31" x14ac:dyDescent="0.25">
      <c r="A55" t="s">
        <v>221</v>
      </c>
      <c r="B55" t="s">
        <v>150</v>
      </c>
      <c r="C55" t="s">
        <v>106</v>
      </c>
      <c r="D55" t="s">
        <v>222</v>
      </c>
      <c r="E55" t="s">
        <v>64</v>
      </c>
      <c r="F55" t="s">
        <v>65</v>
      </c>
      <c r="G55" t="s">
        <v>66</v>
      </c>
      <c r="H55" s="2">
        <v>46045</v>
      </c>
      <c r="I55" s="2">
        <v>31901</v>
      </c>
      <c r="J55" t="s">
        <v>27</v>
      </c>
      <c r="K55" t="s">
        <v>67</v>
      </c>
      <c r="L55" t="s">
        <v>50</v>
      </c>
      <c r="M55" s="3">
        <v>702540</v>
      </c>
      <c r="N55" s="3">
        <v>10553</v>
      </c>
      <c r="O55">
        <v>72</v>
      </c>
      <c r="P55">
        <v>66</v>
      </c>
      <c r="Q55">
        <v>56</v>
      </c>
      <c r="R55">
        <v>3</v>
      </c>
      <c r="S55" t="s">
        <v>51</v>
      </c>
      <c r="T55" t="s">
        <v>31</v>
      </c>
      <c r="U55" t="str">
        <v>Senior</v>
      </c>
      <c r="V55" t="str">
        <v>Met Target</v>
      </c>
      <c r="W55" t="str">
        <v>Normal</v>
      </c>
      <c r="X55" t="str">
        <v>Normal Review</v>
      </c>
      <c r="Y55">
        <f>VLOOKUP($L55,Lookup_Table!$A$1:$D$4,4,FALSE)</f>
        <v>0.12</v>
      </c>
      <c r="Z55">
        <f t="shared" si="0"/>
        <v>84304.8</v>
      </c>
      <c r="AA55" s="3">
        <f t="shared" si="1"/>
        <v>797397.8</v>
      </c>
      <c r="AB55">
        <f>VLOOKUP($L55,Lookup_Table!$A$2:$D$4,2,FALSE)</f>
        <v>550000</v>
      </c>
      <c r="AC55">
        <f>VLOOKUP($L55,Lookup_Table!$A$2:$D$4,3,FALSE)</f>
        <v>999999</v>
      </c>
      <c r="AD55">
        <f>VLOOKUP($L55,Lookup_Table!$A$2:$D$4,4)</f>
        <v>0.12</v>
      </c>
      <c r="AE55" t="str" cm="1">
        <f t="array" ref="AE55">IF(AA55:AA55,"Correct Band","Check Band")</f>
        <v>Correct Band</v>
      </c>
    </row>
    <row r="56" spans="1:31" x14ac:dyDescent="0.25">
      <c r="A56" t="s">
        <v>223</v>
      </c>
      <c r="B56" t="s">
        <v>153</v>
      </c>
      <c r="C56" t="s">
        <v>111</v>
      </c>
      <c r="D56" t="s">
        <v>224</v>
      </c>
      <c r="E56" t="s">
        <v>73</v>
      </c>
      <c r="F56" t="s">
        <v>138</v>
      </c>
      <c r="G56" t="s">
        <v>75</v>
      </c>
      <c r="H56" s="2">
        <v>44460</v>
      </c>
      <c r="I56" s="2">
        <v>34956</v>
      </c>
      <c r="J56" t="s">
        <v>27</v>
      </c>
      <c r="K56" t="s">
        <v>39</v>
      </c>
      <c r="L56" t="s">
        <v>29</v>
      </c>
      <c r="M56" s="3">
        <v>281439</v>
      </c>
      <c r="N56" s="3">
        <v>57138</v>
      </c>
      <c r="O56">
        <v>58</v>
      </c>
      <c r="P56">
        <v>68</v>
      </c>
      <c r="Q56">
        <v>84</v>
      </c>
      <c r="R56">
        <v>11</v>
      </c>
      <c r="S56" t="s">
        <v>51</v>
      </c>
      <c r="T56" t="s">
        <v>68</v>
      </c>
      <c r="U56" t="str">
        <v>Junior</v>
      </c>
      <c r="V56" t="str">
        <v>Below Target</v>
      </c>
      <c r="W56" t="str">
        <v>High Absence</v>
      </c>
      <c r="X56" t="str">
        <v>Normal Review</v>
      </c>
      <c r="Y56">
        <f>VLOOKUP($L56,Lookup_Table!$A$1:$D$4,4,FALSE)</f>
        <v>0.05</v>
      </c>
      <c r="Z56">
        <f t="shared" si="0"/>
        <v>14071.95</v>
      </c>
      <c r="AA56" s="3">
        <f t="shared" si="1"/>
        <v>352648.95</v>
      </c>
      <c r="AB56">
        <f>VLOOKUP($L56,Lookup_Table!$A$2:$D$4,2,FALSE)</f>
        <v>180000</v>
      </c>
      <c r="AC56">
        <f>VLOOKUP($L56,Lookup_Table!$A$2:$D$4,3,FALSE)</f>
        <v>319999</v>
      </c>
      <c r="AD56">
        <f>VLOOKUP($L56,Lookup_Table!$A$2:$D$4,4)</f>
        <v>0.05</v>
      </c>
      <c r="AE56" t="str" cm="1">
        <f t="array" ref="AE56">IF(AA56:AA56,"Correct Band","Check Band")</f>
        <v>Correct Band</v>
      </c>
    </row>
    <row r="57" spans="1:31" x14ac:dyDescent="0.25">
      <c r="A57" t="s">
        <v>225</v>
      </c>
      <c r="B57" t="s">
        <v>156</v>
      </c>
      <c r="C57" t="s">
        <v>115</v>
      </c>
      <c r="D57" t="s">
        <v>226</v>
      </c>
      <c r="E57" t="s">
        <v>80</v>
      </c>
      <c r="F57" t="s">
        <v>165</v>
      </c>
      <c r="G57" t="s">
        <v>82</v>
      </c>
      <c r="H57" s="2">
        <v>44305</v>
      </c>
      <c r="I57" s="2">
        <v>33731</v>
      </c>
      <c r="J57" t="s">
        <v>27</v>
      </c>
      <c r="K57" t="s">
        <v>28</v>
      </c>
      <c r="L57" t="s">
        <v>40</v>
      </c>
      <c r="M57" s="3">
        <v>421992</v>
      </c>
      <c r="N57" s="3">
        <v>98384</v>
      </c>
      <c r="O57">
        <v>69</v>
      </c>
      <c r="P57">
        <v>55</v>
      </c>
      <c r="Q57">
        <v>80</v>
      </c>
      <c r="R57">
        <v>11</v>
      </c>
      <c r="S57" t="s">
        <v>51</v>
      </c>
      <c r="T57" t="s">
        <v>31</v>
      </c>
      <c r="U57" t="str">
        <v>Mid_Level</v>
      </c>
      <c r="V57" t="str">
        <v>Met Target</v>
      </c>
      <c r="W57" t="str">
        <v>High Absence</v>
      </c>
      <c r="X57" t="str">
        <v>Normal Review</v>
      </c>
      <c r="Y57">
        <f>VLOOKUP($L57,Lookup_Table!$A$1:$D$4,4,FALSE)</f>
        <v>0.08</v>
      </c>
      <c r="Z57">
        <f t="shared" si="0"/>
        <v>33759.360000000001</v>
      </c>
      <c r="AA57" s="3">
        <f t="shared" si="1"/>
        <v>554135.36</v>
      </c>
      <c r="AB57">
        <f>VLOOKUP($L57,Lookup_Table!$A$2:$D$4,2,FALSE)</f>
        <v>320000</v>
      </c>
      <c r="AC57">
        <f>VLOOKUP($L57,Lookup_Table!$A$2:$D$4,3,FALSE)</f>
        <v>549999</v>
      </c>
      <c r="AD57">
        <f>VLOOKUP($L57,Lookup_Table!$A$2:$D$4,4)</f>
        <v>0.08</v>
      </c>
      <c r="AE57" t="str" cm="1">
        <f t="array" ref="AE57">IF(AA57:AA57,"Correct Band","Check Band")</f>
        <v>Correct Band</v>
      </c>
    </row>
    <row r="58" spans="1:31" x14ac:dyDescent="0.25">
      <c r="A58" t="s">
        <v>227</v>
      </c>
      <c r="B58" t="s">
        <v>159</v>
      </c>
      <c r="C58" t="s">
        <v>22</v>
      </c>
      <c r="D58" t="s">
        <v>228</v>
      </c>
      <c r="E58" t="s">
        <v>24</v>
      </c>
      <c r="F58" t="s">
        <v>169</v>
      </c>
      <c r="G58" t="s">
        <v>26</v>
      </c>
      <c r="H58" s="2">
        <v>44830</v>
      </c>
      <c r="I58" s="2">
        <v>32717</v>
      </c>
      <c r="J58" t="s">
        <v>27</v>
      </c>
      <c r="K58" t="s">
        <v>39</v>
      </c>
      <c r="L58" t="s">
        <v>50</v>
      </c>
      <c r="M58" s="3">
        <v>777607</v>
      </c>
      <c r="N58" s="3">
        <v>10766</v>
      </c>
      <c r="O58">
        <v>94</v>
      </c>
      <c r="P58">
        <v>93</v>
      </c>
      <c r="Q58">
        <v>77</v>
      </c>
      <c r="R58">
        <v>8</v>
      </c>
      <c r="S58" t="s">
        <v>59</v>
      </c>
      <c r="T58" t="s">
        <v>68</v>
      </c>
      <c r="U58" t="str">
        <v>Senior</v>
      </c>
      <c r="V58" t="str">
        <v>Met Target</v>
      </c>
      <c r="W58" t="str">
        <v>High Absence</v>
      </c>
      <c r="X58" t="str">
        <v>Normal Review</v>
      </c>
      <c r="Y58">
        <f>VLOOKUP($L58,Lookup_Table!$A$1:$D$4,4,FALSE)</f>
        <v>0.12</v>
      </c>
      <c r="Z58">
        <f t="shared" si="0"/>
        <v>93312.84</v>
      </c>
      <c r="AA58" s="3">
        <f t="shared" si="1"/>
        <v>881685.84</v>
      </c>
      <c r="AB58">
        <f>VLOOKUP($L58,Lookup_Table!$A$2:$D$4,2,FALSE)</f>
        <v>550000</v>
      </c>
      <c r="AC58">
        <f>VLOOKUP($L58,Lookup_Table!$A$2:$D$4,3,FALSE)</f>
        <v>999999</v>
      </c>
      <c r="AD58">
        <f>VLOOKUP($L58,Lookup_Table!$A$2:$D$4,4)</f>
        <v>0.12</v>
      </c>
      <c r="AE58" t="str" cm="1">
        <f t="array" ref="AE58">IF(AA58:AA58,"Correct Band","Check Band")</f>
        <v>Correct Band</v>
      </c>
    </row>
    <row r="59" spans="1:31" x14ac:dyDescent="0.25">
      <c r="A59" t="s">
        <v>229</v>
      </c>
      <c r="B59" t="s">
        <v>163</v>
      </c>
      <c r="C59" t="s">
        <v>34</v>
      </c>
      <c r="D59" t="s">
        <v>230</v>
      </c>
      <c r="E59" t="s">
        <v>36</v>
      </c>
      <c r="F59" t="s">
        <v>148</v>
      </c>
      <c r="G59" t="s">
        <v>38</v>
      </c>
      <c r="H59" s="2">
        <v>45908</v>
      </c>
      <c r="I59" s="2">
        <v>41657</v>
      </c>
      <c r="J59" t="s">
        <v>49</v>
      </c>
      <c r="K59" t="s">
        <v>28</v>
      </c>
      <c r="L59" t="s">
        <v>29</v>
      </c>
      <c r="M59" s="3">
        <v>209038</v>
      </c>
      <c r="N59" s="3">
        <v>113645</v>
      </c>
      <c r="O59">
        <v>71</v>
      </c>
      <c r="P59">
        <v>51</v>
      </c>
      <c r="Q59">
        <v>78</v>
      </c>
      <c r="R59">
        <v>10</v>
      </c>
      <c r="S59" t="s">
        <v>59</v>
      </c>
      <c r="T59" t="s">
        <v>83</v>
      </c>
      <c r="U59" t="str">
        <v>Junior</v>
      </c>
      <c r="V59" t="str">
        <v>Met Target</v>
      </c>
      <c r="W59" t="str">
        <v>High Absence</v>
      </c>
      <c r="X59" t="str">
        <v>Normal Review</v>
      </c>
      <c r="Y59">
        <f>VLOOKUP($L59,Lookup_Table!$A$1:$D$4,4,FALSE)</f>
        <v>0.05</v>
      </c>
      <c r="Z59">
        <f t="shared" si="0"/>
        <v>10451.900000000001</v>
      </c>
      <c r="AA59" s="3">
        <f t="shared" si="1"/>
        <v>333134.90000000002</v>
      </c>
      <c r="AB59">
        <f>VLOOKUP($L59,Lookup_Table!$A$2:$D$4,2,FALSE)</f>
        <v>180000</v>
      </c>
      <c r="AC59">
        <f>VLOOKUP($L59,Lookup_Table!$A$2:$D$4,3,FALSE)</f>
        <v>319999</v>
      </c>
      <c r="AD59">
        <f>VLOOKUP($L59,Lookup_Table!$A$2:$D$4,4)</f>
        <v>0.05</v>
      </c>
      <c r="AE59" t="str" cm="1">
        <f t="array" ref="AE59">IF(AA59:AA59,"Correct Band","Check Band")</f>
        <v>Correct Band</v>
      </c>
    </row>
    <row r="60" spans="1:31" x14ac:dyDescent="0.25">
      <c r="A60" t="s">
        <v>231</v>
      </c>
      <c r="B60" t="s">
        <v>167</v>
      </c>
      <c r="C60" t="s">
        <v>44</v>
      </c>
      <c r="D60" t="s">
        <v>232</v>
      </c>
      <c r="E60" t="s">
        <v>46</v>
      </c>
      <c r="F60" t="s">
        <v>127</v>
      </c>
      <c r="G60" t="s">
        <v>48</v>
      </c>
      <c r="H60" s="2">
        <v>44557</v>
      </c>
      <c r="I60" s="2">
        <v>39596</v>
      </c>
      <c r="J60" t="s">
        <v>49</v>
      </c>
      <c r="K60" t="s">
        <v>28</v>
      </c>
      <c r="L60" t="s">
        <v>40</v>
      </c>
      <c r="M60" s="3">
        <v>457080</v>
      </c>
      <c r="N60" s="3">
        <v>114183</v>
      </c>
      <c r="O60">
        <v>91</v>
      </c>
      <c r="P60">
        <v>88</v>
      </c>
      <c r="Q60">
        <v>92</v>
      </c>
      <c r="R60">
        <v>4</v>
      </c>
      <c r="S60" t="s">
        <v>51</v>
      </c>
      <c r="T60" t="s">
        <v>83</v>
      </c>
      <c r="U60" t="str">
        <v>Mid_Level</v>
      </c>
      <c r="V60" t="str">
        <v>Met Target</v>
      </c>
      <c r="W60" t="str">
        <v>Normal</v>
      </c>
      <c r="X60" t="str">
        <v>Normal Review</v>
      </c>
      <c r="Y60">
        <f>VLOOKUP($L60,Lookup_Table!$A$1:$D$4,4,FALSE)</f>
        <v>0.08</v>
      </c>
      <c r="Z60">
        <f t="shared" si="0"/>
        <v>36566.400000000001</v>
      </c>
      <c r="AA60" s="3">
        <f t="shared" si="1"/>
        <v>607829.4</v>
      </c>
      <c r="AB60">
        <f>VLOOKUP($L60,Lookup_Table!$A$2:$D$4,2,FALSE)</f>
        <v>320000</v>
      </c>
      <c r="AC60">
        <f>VLOOKUP($L60,Lookup_Table!$A$2:$D$4,3,FALSE)</f>
        <v>549999</v>
      </c>
      <c r="AD60">
        <f>VLOOKUP($L60,Lookup_Table!$A$2:$D$4,4)</f>
        <v>0.08</v>
      </c>
      <c r="AE60" t="str" cm="1">
        <f t="array" ref="AE60">IF(AA60:AA60,"Correct Band","Check Band")</f>
        <v>Correct Band</v>
      </c>
    </row>
    <row r="61" spans="1:31" x14ac:dyDescent="0.25">
      <c r="A61" t="s">
        <v>233</v>
      </c>
      <c r="B61" t="s">
        <v>171</v>
      </c>
      <c r="C61" t="s">
        <v>54</v>
      </c>
      <c r="D61" t="s">
        <v>234</v>
      </c>
      <c r="E61" t="s">
        <v>56</v>
      </c>
      <c r="F61" t="s">
        <v>57</v>
      </c>
      <c r="G61" t="s">
        <v>58</v>
      </c>
      <c r="H61" s="2">
        <v>44978</v>
      </c>
      <c r="I61" s="2">
        <v>38433</v>
      </c>
      <c r="J61" t="s">
        <v>49</v>
      </c>
      <c r="K61" t="s">
        <v>28</v>
      </c>
      <c r="L61" t="s">
        <v>50</v>
      </c>
      <c r="M61" s="3">
        <v>711359</v>
      </c>
      <c r="N61" s="3">
        <v>7523</v>
      </c>
      <c r="O61">
        <v>65</v>
      </c>
      <c r="P61">
        <v>74</v>
      </c>
      <c r="Q61">
        <v>86</v>
      </c>
      <c r="R61">
        <v>5</v>
      </c>
      <c r="S61" t="s">
        <v>51</v>
      </c>
      <c r="T61" t="s">
        <v>41</v>
      </c>
      <c r="U61" t="str">
        <v>Senior</v>
      </c>
      <c r="V61" t="str">
        <v>Below Target</v>
      </c>
      <c r="W61" t="str">
        <v>Normal</v>
      </c>
      <c r="X61" t="str">
        <v>Normal Review</v>
      </c>
      <c r="Y61">
        <f>VLOOKUP($L61,Lookup_Table!$A$1:$D$4,4,FALSE)</f>
        <v>0.12</v>
      </c>
      <c r="Z61">
        <f t="shared" si="0"/>
        <v>85363.08</v>
      </c>
      <c r="AA61" s="3">
        <f t="shared" si="1"/>
        <v>804245.08</v>
      </c>
      <c r="AB61">
        <f>VLOOKUP($L61,Lookup_Table!$A$2:$D$4,2,FALSE)</f>
        <v>550000</v>
      </c>
      <c r="AC61">
        <f>VLOOKUP($L61,Lookup_Table!$A$2:$D$4,3,FALSE)</f>
        <v>999999</v>
      </c>
      <c r="AD61">
        <f>VLOOKUP($L61,Lookup_Table!$A$2:$D$4,4)</f>
        <v>0.12</v>
      </c>
      <c r="AE61" t="str" cm="1">
        <f t="array" ref="AE61">IF(AA61:AA61,"Correct Band","Check Band")</f>
        <v>Correct Band</v>
      </c>
    </row>
    <row r="62" spans="1:31" x14ac:dyDescent="0.25">
      <c r="A62" t="s">
        <v>235</v>
      </c>
      <c r="B62" t="s">
        <v>21</v>
      </c>
      <c r="C62" t="s">
        <v>62</v>
      </c>
      <c r="D62" t="s">
        <v>236</v>
      </c>
      <c r="E62" t="s">
        <v>64</v>
      </c>
      <c r="F62" t="s">
        <v>65</v>
      </c>
      <c r="G62" t="s">
        <v>66</v>
      </c>
      <c r="H62" s="2">
        <v>45289</v>
      </c>
      <c r="I62" s="2">
        <v>35280</v>
      </c>
      <c r="J62" t="s">
        <v>27</v>
      </c>
      <c r="K62" t="s">
        <v>39</v>
      </c>
      <c r="L62" t="s">
        <v>29</v>
      </c>
      <c r="M62" s="3">
        <v>227802</v>
      </c>
      <c r="N62" s="3">
        <v>2661</v>
      </c>
      <c r="O62">
        <v>71</v>
      </c>
      <c r="P62">
        <v>68</v>
      </c>
      <c r="Q62">
        <v>88</v>
      </c>
      <c r="R62">
        <v>3</v>
      </c>
      <c r="S62" t="s">
        <v>103</v>
      </c>
      <c r="T62" t="s">
        <v>83</v>
      </c>
      <c r="U62" t="str">
        <v>Junior</v>
      </c>
      <c r="V62" t="str">
        <v>Met Target</v>
      </c>
      <c r="W62" t="str">
        <v>Normal</v>
      </c>
      <c r="X62" t="str">
        <v>Review For Reward</v>
      </c>
      <c r="Y62">
        <f>VLOOKUP($L62,Lookup_Table!$A$1:$D$4,4,FALSE)</f>
        <v>0.05</v>
      </c>
      <c r="Z62">
        <f t="shared" si="0"/>
        <v>11390.1</v>
      </c>
      <c r="AA62" s="3">
        <f t="shared" si="1"/>
        <v>241853.1</v>
      </c>
      <c r="AB62">
        <f>VLOOKUP($L62,Lookup_Table!$A$2:$D$4,2,FALSE)</f>
        <v>180000</v>
      </c>
      <c r="AC62">
        <f>VLOOKUP($L62,Lookup_Table!$A$2:$D$4,3,FALSE)</f>
        <v>319999</v>
      </c>
      <c r="AD62">
        <f>VLOOKUP($L62,Lookup_Table!$A$2:$D$4,4)</f>
        <v>0.05</v>
      </c>
      <c r="AE62" t="str" cm="1">
        <f t="array" ref="AE62">IF(AA62:AA62,"Correct Band","Check Band")</f>
        <v>Correct Band</v>
      </c>
    </row>
    <row r="63" spans="1:31" x14ac:dyDescent="0.25">
      <c r="A63" t="s">
        <v>237</v>
      </c>
      <c r="B63" t="s">
        <v>33</v>
      </c>
      <c r="C63" t="s">
        <v>71</v>
      </c>
      <c r="D63" t="s">
        <v>238</v>
      </c>
      <c r="E63" t="s">
        <v>73</v>
      </c>
      <c r="F63" t="s">
        <v>138</v>
      </c>
      <c r="G63" t="s">
        <v>75</v>
      </c>
      <c r="H63" s="2">
        <v>45500</v>
      </c>
      <c r="I63" s="2">
        <v>39052</v>
      </c>
      <c r="J63" t="s">
        <v>49</v>
      </c>
      <c r="K63" t="s">
        <v>67</v>
      </c>
      <c r="L63" t="s">
        <v>40</v>
      </c>
      <c r="M63" s="3">
        <v>494381</v>
      </c>
      <c r="N63" s="3">
        <v>128665</v>
      </c>
      <c r="O63">
        <v>85</v>
      </c>
      <c r="P63">
        <v>80</v>
      </c>
      <c r="Q63">
        <v>83</v>
      </c>
      <c r="R63">
        <v>12</v>
      </c>
      <c r="S63" t="s">
        <v>103</v>
      </c>
      <c r="T63" t="s">
        <v>31</v>
      </c>
      <c r="U63" t="str">
        <v>Mid_Level</v>
      </c>
      <c r="V63" t="str">
        <v>Met Target</v>
      </c>
      <c r="W63" t="str">
        <v>High Absence</v>
      </c>
      <c r="X63" t="str">
        <v>Review For Reward</v>
      </c>
      <c r="Y63">
        <f>VLOOKUP($L63,Lookup_Table!$A$1:$D$4,4,FALSE)</f>
        <v>0.08</v>
      </c>
      <c r="Z63">
        <f t="shared" si="0"/>
        <v>39550.480000000003</v>
      </c>
      <c r="AA63" s="3">
        <f t="shared" si="1"/>
        <v>662596.48</v>
      </c>
      <c r="AB63">
        <f>VLOOKUP($L63,Lookup_Table!$A$2:$D$4,2,FALSE)</f>
        <v>320000</v>
      </c>
      <c r="AC63">
        <f>VLOOKUP($L63,Lookup_Table!$A$2:$D$4,3,FALSE)</f>
        <v>549999</v>
      </c>
      <c r="AD63">
        <f>VLOOKUP($L63,Lookup_Table!$A$2:$D$4,4)</f>
        <v>0.08</v>
      </c>
      <c r="AE63" t="str" cm="1">
        <f t="array" ref="AE63">IF(AA63:AA63,"Correct Band","Check Band")</f>
        <v>Correct Band</v>
      </c>
    </row>
    <row r="64" spans="1:31" x14ac:dyDescent="0.25">
      <c r="A64" t="s">
        <v>239</v>
      </c>
      <c r="B64" t="s">
        <v>43</v>
      </c>
      <c r="C64" t="s">
        <v>78</v>
      </c>
      <c r="D64" t="s">
        <v>240</v>
      </c>
      <c r="E64" t="s">
        <v>80</v>
      </c>
      <c r="F64" t="s">
        <v>117</v>
      </c>
      <c r="G64" t="s">
        <v>82</v>
      </c>
      <c r="H64" s="2">
        <v>44743</v>
      </c>
      <c r="I64" s="2">
        <v>37673</v>
      </c>
      <c r="J64" t="s">
        <v>27</v>
      </c>
      <c r="K64" t="s">
        <v>28</v>
      </c>
      <c r="L64" t="s">
        <v>50</v>
      </c>
      <c r="M64" s="3">
        <v>738566</v>
      </c>
      <c r="N64" s="3">
        <v>145089</v>
      </c>
      <c r="O64">
        <v>94</v>
      </c>
      <c r="P64">
        <v>89</v>
      </c>
      <c r="Q64">
        <v>88</v>
      </c>
      <c r="R64">
        <v>5</v>
      </c>
      <c r="S64" t="s">
        <v>59</v>
      </c>
      <c r="T64" t="s">
        <v>93</v>
      </c>
      <c r="U64" t="str">
        <v>Senior</v>
      </c>
      <c r="V64" t="str">
        <v>Met Target</v>
      </c>
      <c r="W64" t="str">
        <v>Normal</v>
      </c>
      <c r="X64" t="str">
        <v>Normal Review</v>
      </c>
      <c r="Y64">
        <f>VLOOKUP($L64,Lookup_Table!$A$1:$D$4,4,FALSE)</f>
        <v>0.12</v>
      </c>
      <c r="Z64">
        <f t="shared" si="0"/>
        <v>88627.92</v>
      </c>
      <c r="AA64" s="3">
        <f t="shared" si="1"/>
        <v>972282.92</v>
      </c>
      <c r="AB64">
        <f>VLOOKUP($L64,Lookup_Table!$A$2:$D$4,2,FALSE)</f>
        <v>550000</v>
      </c>
      <c r="AC64">
        <f>VLOOKUP($L64,Lookup_Table!$A$2:$D$4,3,FALSE)</f>
        <v>999999</v>
      </c>
      <c r="AD64">
        <f>VLOOKUP($L64,Lookup_Table!$A$2:$D$4,4)</f>
        <v>0.12</v>
      </c>
      <c r="AE64" t="str" cm="1">
        <f t="array" ref="AE64">IF(AA64:AA64,"Correct Band","Check Band")</f>
        <v>Correct Band</v>
      </c>
    </row>
    <row r="65" spans="1:31" x14ac:dyDescent="0.25">
      <c r="A65" t="s">
        <v>241</v>
      </c>
      <c r="B65" t="s">
        <v>53</v>
      </c>
      <c r="C65" t="s">
        <v>86</v>
      </c>
      <c r="D65" t="s">
        <v>242</v>
      </c>
      <c r="E65" t="s">
        <v>24</v>
      </c>
      <c r="F65" t="s">
        <v>88</v>
      </c>
      <c r="G65" t="s">
        <v>26</v>
      </c>
      <c r="H65" s="2">
        <v>45277</v>
      </c>
      <c r="I65" s="2">
        <v>42563</v>
      </c>
      <c r="J65" t="s">
        <v>27</v>
      </c>
      <c r="K65" t="s">
        <v>28</v>
      </c>
      <c r="L65" t="s">
        <v>29</v>
      </c>
      <c r="M65" s="3">
        <v>243357</v>
      </c>
      <c r="N65" s="3">
        <v>31629</v>
      </c>
      <c r="O65">
        <v>79</v>
      </c>
      <c r="P65">
        <v>76</v>
      </c>
      <c r="Q65">
        <v>67</v>
      </c>
      <c r="R65">
        <v>5</v>
      </c>
      <c r="S65" t="s">
        <v>103</v>
      </c>
      <c r="T65" t="s">
        <v>93</v>
      </c>
      <c r="U65" t="str">
        <v>Junior</v>
      </c>
      <c r="V65" t="str">
        <v>Met Target</v>
      </c>
      <c r="W65" t="str">
        <v>Normal</v>
      </c>
      <c r="X65" t="str">
        <v>Review For Reward</v>
      </c>
      <c r="Y65">
        <f>VLOOKUP($L65,Lookup_Table!$A$1:$D$4,4,FALSE)</f>
        <v>0.05</v>
      </c>
      <c r="Z65">
        <f t="shared" si="0"/>
        <v>12167.85</v>
      </c>
      <c r="AA65" s="3">
        <f t="shared" si="1"/>
        <v>287153.84999999998</v>
      </c>
      <c r="AB65">
        <f>VLOOKUP($L65,Lookup_Table!$A$2:$D$4,2,FALSE)</f>
        <v>180000</v>
      </c>
      <c r="AC65">
        <f>VLOOKUP($L65,Lookup_Table!$A$2:$D$4,3,FALSE)</f>
        <v>319999</v>
      </c>
      <c r="AD65">
        <f>VLOOKUP($L65,Lookup_Table!$A$2:$D$4,4)</f>
        <v>0.05</v>
      </c>
      <c r="AE65" t="str" cm="1">
        <f t="array" ref="AE65">IF(AA65:AA65,"Correct Band","Check Band")</f>
        <v>Correct Band</v>
      </c>
    </row>
    <row r="66" spans="1:31" x14ac:dyDescent="0.25">
      <c r="A66" t="s">
        <v>243</v>
      </c>
      <c r="B66" t="s">
        <v>61</v>
      </c>
      <c r="C66" t="s">
        <v>91</v>
      </c>
      <c r="D66" t="s">
        <v>244</v>
      </c>
      <c r="E66" t="s">
        <v>36</v>
      </c>
      <c r="F66" t="s">
        <v>148</v>
      </c>
      <c r="G66" t="s">
        <v>38</v>
      </c>
      <c r="H66" s="2">
        <v>44594</v>
      </c>
      <c r="I66" s="2">
        <v>34186</v>
      </c>
      <c r="J66" t="s">
        <v>27</v>
      </c>
      <c r="K66" t="s">
        <v>28</v>
      </c>
      <c r="L66" t="s">
        <v>40</v>
      </c>
      <c r="M66" s="3">
        <v>499901</v>
      </c>
      <c r="N66" s="3">
        <v>50886</v>
      </c>
      <c r="O66">
        <v>63</v>
      </c>
      <c r="P66">
        <v>73</v>
      </c>
      <c r="Q66">
        <v>73</v>
      </c>
      <c r="R66">
        <v>3</v>
      </c>
      <c r="S66" t="s">
        <v>51</v>
      </c>
      <c r="T66" t="s">
        <v>83</v>
      </c>
      <c r="U66" t="str">
        <v>Mid_Level</v>
      </c>
      <c r="V66" t="str">
        <v>Below Target</v>
      </c>
      <c r="W66" t="str">
        <v>Normal</v>
      </c>
      <c r="X66" t="str">
        <v>Normal Review</v>
      </c>
      <c r="Y66">
        <f>VLOOKUP($L66,Lookup_Table!$A$1:$D$4,4,FALSE)</f>
        <v>0.08</v>
      </c>
      <c r="Z66">
        <f t="shared" si="0"/>
        <v>39992.080000000002</v>
      </c>
      <c r="AA66" s="3">
        <f t="shared" si="1"/>
        <v>590779.07999999996</v>
      </c>
      <c r="AB66">
        <f>VLOOKUP($L66,Lookup_Table!$A$2:$D$4,2,FALSE)</f>
        <v>320000</v>
      </c>
      <c r="AC66">
        <f>VLOOKUP($L66,Lookup_Table!$A$2:$D$4,3,FALSE)</f>
        <v>549999</v>
      </c>
      <c r="AD66">
        <f>VLOOKUP($L66,Lookup_Table!$A$2:$D$4,4)</f>
        <v>0.08</v>
      </c>
      <c r="AE66" t="str" cm="1">
        <f t="array" ref="AE66">IF(AA66:AA66,"Correct Band","Check Band")</f>
        <v>Correct Band</v>
      </c>
    </row>
    <row r="67" spans="1:31" x14ac:dyDescent="0.25">
      <c r="A67" t="s">
        <v>245</v>
      </c>
      <c r="B67" t="s">
        <v>70</v>
      </c>
      <c r="C67" t="s">
        <v>96</v>
      </c>
      <c r="D67" t="s">
        <v>246</v>
      </c>
      <c r="E67" t="s">
        <v>46</v>
      </c>
      <c r="F67" t="s">
        <v>175</v>
      </c>
      <c r="G67" t="s">
        <v>48</v>
      </c>
      <c r="H67" s="2">
        <v>43893</v>
      </c>
      <c r="I67" s="2">
        <v>42648</v>
      </c>
      <c r="J67" t="s">
        <v>27</v>
      </c>
      <c r="K67" t="s">
        <v>28</v>
      </c>
      <c r="L67" t="s">
        <v>50</v>
      </c>
      <c r="M67" s="3">
        <v>739618</v>
      </c>
      <c r="N67" s="3">
        <v>145059</v>
      </c>
      <c r="O67">
        <v>84</v>
      </c>
      <c r="P67">
        <v>72</v>
      </c>
      <c r="Q67">
        <v>73</v>
      </c>
      <c r="R67">
        <v>11</v>
      </c>
      <c r="S67" t="s">
        <v>51</v>
      </c>
      <c r="T67" t="s">
        <v>41</v>
      </c>
      <c r="U67" t="str">
        <v>Senior</v>
      </c>
      <c r="V67" t="str">
        <v>Met Target</v>
      </c>
      <c r="W67" t="str">
        <v>High Absence</v>
      </c>
      <c r="X67" t="str">
        <v>Normal Review</v>
      </c>
      <c r="Y67">
        <f>VLOOKUP($L67,Lookup_Table!$A$1:$D$4,4,FALSE)</f>
        <v>0.12</v>
      </c>
      <c r="Z67">
        <f t="shared" ref="Z67:Z101" si="2">IFERROR(M67*Y67,0)</f>
        <v>88754.16</v>
      </c>
      <c r="AA67" s="3">
        <f t="shared" ref="AA67:AA101" si="3">SUM(M67,N67,Z67)</f>
        <v>973431.16</v>
      </c>
      <c r="AB67">
        <f>VLOOKUP($L67,Lookup_Table!$A$2:$D$4,2,FALSE)</f>
        <v>550000</v>
      </c>
      <c r="AC67">
        <f>VLOOKUP($L67,Lookup_Table!$A$2:$D$4,3,FALSE)</f>
        <v>999999</v>
      </c>
      <c r="AD67">
        <f>VLOOKUP($L67,Lookup_Table!$A$2:$D$4,4)</f>
        <v>0.12</v>
      </c>
      <c r="AE67" t="str" cm="1">
        <f t="array" ref="AE67">IF(AA67:AA67,"Correct Band","Check Band")</f>
        <v>Correct Band</v>
      </c>
    </row>
    <row r="68" spans="1:31" x14ac:dyDescent="0.25">
      <c r="A68" t="s">
        <v>247</v>
      </c>
      <c r="B68" t="s">
        <v>77</v>
      </c>
      <c r="C68" t="s">
        <v>100</v>
      </c>
      <c r="D68" t="s">
        <v>248</v>
      </c>
      <c r="E68" t="s">
        <v>56</v>
      </c>
      <c r="F68" t="s">
        <v>102</v>
      </c>
      <c r="G68" t="s">
        <v>58</v>
      </c>
      <c r="H68" s="2">
        <v>43886</v>
      </c>
      <c r="I68" s="2">
        <v>40453</v>
      </c>
      <c r="J68" t="s">
        <v>49</v>
      </c>
      <c r="K68" t="s">
        <v>28</v>
      </c>
      <c r="L68" t="s">
        <v>29</v>
      </c>
      <c r="M68" s="3">
        <v>213446</v>
      </c>
      <c r="N68" s="3">
        <v>48329</v>
      </c>
      <c r="O68">
        <v>68</v>
      </c>
      <c r="P68">
        <v>78</v>
      </c>
      <c r="Q68">
        <v>58</v>
      </c>
      <c r="R68">
        <v>4</v>
      </c>
      <c r="S68" t="s">
        <v>59</v>
      </c>
      <c r="T68" t="s">
        <v>31</v>
      </c>
      <c r="U68" t="str">
        <v>Junior</v>
      </c>
      <c r="V68" t="str">
        <v>Below Target</v>
      </c>
      <c r="W68" t="str">
        <v>Normal</v>
      </c>
      <c r="X68" t="str">
        <v>Normal Review</v>
      </c>
      <c r="Y68">
        <f>VLOOKUP($L68,Lookup_Table!$A$1:$D$4,4,FALSE)</f>
        <v>0.05</v>
      </c>
      <c r="Z68">
        <f t="shared" si="2"/>
        <v>10672.300000000001</v>
      </c>
      <c r="AA68" s="3">
        <f t="shared" si="3"/>
        <v>272447.3</v>
      </c>
      <c r="AB68">
        <f>VLOOKUP($L68,Lookup_Table!$A$2:$D$4,2,FALSE)</f>
        <v>180000</v>
      </c>
      <c r="AC68">
        <f>VLOOKUP($L68,Lookup_Table!$A$2:$D$4,3,FALSE)</f>
        <v>319999</v>
      </c>
      <c r="AD68">
        <f>VLOOKUP($L68,Lookup_Table!$A$2:$D$4,4)</f>
        <v>0.05</v>
      </c>
      <c r="AE68" t="str" cm="1">
        <f t="array" ref="AE68">IF(AA68:AA68,"Correct Band","Check Band")</f>
        <v>Correct Band</v>
      </c>
    </row>
    <row r="69" spans="1:31" x14ac:dyDescent="0.25">
      <c r="A69" t="s">
        <v>249</v>
      </c>
      <c r="B69" t="s">
        <v>85</v>
      </c>
      <c r="C69" t="s">
        <v>106</v>
      </c>
      <c r="D69" t="s">
        <v>250</v>
      </c>
      <c r="E69" t="s">
        <v>64</v>
      </c>
      <c r="F69" t="s">
        <v>65</v>
      </c>
      <c r="G69" t="s">
        <v>66</v>
      </c>
      <c r="H69" s="2">
        <v>45477</v>
      </c>
      <c r="I69" s="2">
        <v>39104</v>
      </c>
      <c r="J69" t="s">
        <v>27</v>
      </c>
      <c r="K69" t="s">
        <v>28</v>
      </c>
      <c r="L69" t="s">
        <v>40</v>
      </c>
      <c r="M69" s="3">
        <v>408564</v>
      </c>
      <c r="N69" s="3">
        <v>39111</v>
      </c>
      <c r="O69">
        <v>54</v>
      </c>
      <c r="P69">
        <v>70</v>
      </c>
      <c r="Q69">
        <v>91</v>
      </c>
      <c r="R69">
        <v>4</v>
      </c>
      <c r="S69" t="s">
        <v>103</v>
      </c>
      <c r="T69" t="s">
        <v>83</v>
      </c>
      <c r="U69" t="str">
        <v>Mid_Level</v>
      </c>
      <c r="V69" t="str">
        <v>Below Target</v>
      </c>
      <c r="W69" t="str">
        <v>Normal</v>
      </c>
      <c r="X69" t="str">
        <v>Review For Reward</v>
      </c>
      <c r="Y69">
        <f>VLOOKUP($L69,Lookup_Table!$A$1:$D$4,4,FALSE)</f>
        <v>0.08</v>
      </c>
      <c r="Z69">
        <f t="shared" si="2"/>
        <v>32685.119999999999</v>
      </c>
      <c r="AA69" s="3">
        <f t="shared" si="3"/>
        <v>480360.12</v>
      </c>
      <c r="AB69">
        <f>VLOOKUP($L69,Lookup_Table!$A$2:$D$4,2,FALSE)</f>
        <v>320000</v>
      </c>
      <c r="AC69">
        <f>VLOOKUP($L69,Lookup_Table!$A$2:$D$4,3,FALSE)</f>
        <v>549999</v>
      </c>
      <c r="AD69">
        <f>VLOOKUP($L69,Lookup_Table!$A$2:$D$4,4)</f>
        <v>0.08</v>
      </c>
      <c r="AE69" t="str" cm="1">
        <f t="array" ref="AE69">IF(AA69:AA69,"Correct Band","Check Band")</f>
        <v>Correct Band</v>
      </c>
    </row>
    <row r="70" spans="1:31" x14ac:dyDescent="0.25">
      <c r="A70" t="s">
        <v>251</v>
      </c>
      <c r="B70" t="s">
        <v>90</v>
      </c>
      <c r="C70" t="s">
        <v>111</v>
      </c>
      <c r="D70" t="s">
        <v>252</v>
      </c>
      <c r="E70" t="s">
        <v>73</v>
      </c>
      <c r="F70" t="s">
        <v>138</v>
      </c>
      <c r="G70" t="s">
        <v>75</v>
      </c>
      <c r="H70" s="2">
        <v>46121</v>
      </c>
      <c r="I70" s="2">
        <v>37866</v>
      </c>
      <c r="J70" t="s">
        <v>27</v>
      </c>
      <c r="K70" t="s">
        <v>39</v>
      </c>
      <c r="L70" t="s">
        <v>50</v>
      </c>
      <c r="M70" s="3">
        <v>715525</v>
      </c>
      <c r="N70" s="3">
        <v>99713</v>
      </c>
      <c r="O70">
        <v>88</v>
      </c>
      <c r="P70">
        <v>106</v>
      </c>
      <c r="Q70">
        <v>83</v>
      </c>
      <c r="R70">
        <v>7</v>
      </c>
      <c r="S70" t="s">
        <v>51</v>
      </c>
      <c r="T70" t="s">
        <v>93</v>
      </c>
      <c r="U70" t="str">
        <v>Senior</v>
      </c>
      <c r="V70" t="str">
        <v>Below Target</v>
      </c>
      <c r="W70" t="str">
        <v>Normal</v>
      </c>
      <c r="X70" t="str">
        <v>Normal Review</v>
      </c>
      <c r="Y70">
        <f>VLOOKUP($L70,Lookup_Table!$A$1:$D$4,4,FALSE)</f>
        <v>0.12</v>
      </c>
      <c r="Z70">
        <f t="shared" si="2"/>
        <v>85863</v>
      </c>
      <c r="AA70" s="3">
        <f t="shared" si="3"/>
        <v>901101</v>
      </c>
      <c r="AB70">
        <f>VLOOKUP($L70,Lookup_Table!$A$2:$D$4,2,FALSE)</f>
        <v>550000</v>
      </c>
      <c r="AC70">
        <f>VLOOKUP($L70,Lookup_Table!$A$2:$D$4,3,FALSE)</f>
        <v>999999</v>
      </c>
      <c r="AD70">
        <f>VLOOKUP($L70,Lookup_Table!$A$2:$D$4,4)</f>
        <v>0.12</v>
      </c>
      <c r="AE70" t="str" cm="1">
        <f t="array" ref="AE70">IF(AA70:AA70,"Correct Band","Check Band")</f>
        <v>Correct Band</v>
      </c>
    </row>
    <row r="71" spans="1:31" x14ac:dyDescent="0.25">
      <c r="A71" t="s">
        <v>253</v>
      </c>
      <c r="B71" t="s">
        <v>95</v>
      </c>
      <c r="C71" t="s">
        <v>115</v>
      </c>
      <c r="D71" t="s">
        <v>254</v>
      </c>
      <c r="E71" t="s">
        <v>80</v>
      </c>
      <c r="F71" t="s">
        <v>165</v>
      </c>
      <c r="G71" t="s">
        <v>82</v>
      </c>
      <c r="H71" s="2">
        <v>45086</v>
      </c>
      <c r="I71" s="2">
        <v>40364</v>
      </c>
      <c r="J71" t="s">
        <v>27</v>
      </c>
      <c r="K71" t="s">
        <v>28</v>
      </c>
      <c r="L71" t="s">
        <v>29</v>
      </c>
      <c r="M71" s="3">
        <v>256207</v>
      </c>
      <c r="N71" s="3">
        <v>55318</v>
      </c>
      <c r="O71">
        <v>89</v>
      </c>
      <c r="P71">
        <v>72</v>
      </c>
      <c r="Q71">
        <v>71</v>
      </c>
      <c r="R71">
        <v>10</v>
      </c>
      <c r="S71" t="s">
        <v>103</v>
      </c>
      <c r="T71" t="s">
        <v>83</v>
      </c>
      <c r="U71" t="str">
        <v>Junior</v>
      </c>
      <c r="V71" t="str">
        <v>Met Target</v>
      </c>
      <c r="W71" t="str">
        <v>High Absence</v>
      </c>
      <c r="X71" t="str">
        <v>Review For Reward</v>
      </c>
      <c r="Y71">
        <f>VLOOKUP($L71,Lookup_Table!$A$1:$D$4,4,FALSE)</f>
        <v>0.05</v>
      </c>
      <c r="Z71">
        <f t="shared" si="2"/>
        <v>12810.35</v>
      </c>
      <c r="AA71" s="3">
        <f t="shared" si="3"/>
        <v>324335.34999999998</v>
      </c>
      <c r="AB71">
        <f>VLOOKUP($L71,Lookup_Table!$A$2:$D$4,2,FALSE)</f>
        <v>180000</v>
      </c>
      <c r="AC71">
        <f>VLOOKUP($L71,Lookup_Table!$A$2:$D$4,3,FALSE)</f>
        <v>319999</v>
      </c>
      <c r="AD71">
        <f>VLOOKUP($L71,Lookup_Table!$A$2:$D$4,4)</f>
        <v>0.05</v>
      </c>
      <c r="AE71" t="str" cm="1">
        <f t="array" ref="AE71">IF(AA71:AA71,"Correct Band","Check Band")</f>
        <v>Correct Band</v>
      </c>
    </row>
    <row r="72" spans="1:31" x14ac:dyDescent="0.25">
      <c r="A72" t="s">
        <v>255</v>
      </c>
      <c r="B72" t="s">
        <v>99</v>
      </c>
      <c r="C72" t="s">
        <v>22</v>
      </c>
      <c r="D72" t="s">
        <v>256</v>
      </c>
      <c r="E72" t="s">
        <v>24</v>
      </c>
      <c r="F72" t="s">
        <v>25</v>
      </c>
      <c r="G72" t="s">
        <v>26</v>
      </c>
      <c r="H72" s="2">
        <v>44547</v>
      </c>
      <c r="I72" s="2">
        <v>40091</v>
      </c>
      <c r="J72" t="s">
        <v>49</v>
      </c>
      <c r="K72" t="s">
        <v>28</v>
      </c>
      <c r="L72" t="s">
        <v>40</v>
      </c>
      <c r="M72" s="3">
        <v>431439</v>
      </c>
      <c r="N72" s="3">
        <v>123184</v>
      </c>
      <c r="O72">
        <v>54</v>
      </c>
      <c r="P72">
        <v>44</v>
      </c>
      <c r="Q72">
        <v>73</v>
      </c>
      <c r="R72">
        <v>0</v>
      </c>
      <c r="S72" t="s">
        <v>51</v>
      </c>
      <c r="T72" t="s">
        <v>68</v>
      </c>
      <c r="U72" t="str">
        <v>Mid_Level</v>
      </c>
      <c r="V72" t="str">
        <v>Met Target</v>
      </c>
      <c r="W72" t="str">
        <v>Normal</v>
      </c>
      <c r="X72" t="str">
        <v>Normal Review</v>
      </c>
      <c r="Y72">
        <f>VLOOKUP($L72,Lookup_Table!$A$1:$D$4,4,FALSE)</f>
        <v>0.08</v>
      </c>
      <c r="Z72">
        <f t="shared" si="2"/>
        <v>34515.120000000003</v>
      </c>
      <c r="AA72" s="3">
        <f t="shared" si="3"/>
        <v>589138.12</v>
      </c>
      <c r="AB72">
        <f>VLOOKUP($L72,Lookup_Table!$A$2:$D$4,2,FALSE)</f>
        <v>320000</v>
      </c>
      <c r="AC72">
        <f>VLOOKUP($L72,Lookup_Table!$A$2:$D$4,3,FALSE)</f>
        <v>549999</v>
      </c>
      <c r="AD72">
        <f>VLOOKUP($L72,Lookup_Table!$A$2:$D$4,4)</f>
        <v>0.08</v>
      </c>
      <c r="AE72" t="str" cm="1">
        <f t="array" ref="AE72">IF(AA72:AA72,"Correct Band","Check Band")</f>
        <v>Correct Band</v>
      </c>
    </row>
    <row r="73" spans="1:31" x14ac:dyDescent="0.25">
      <c r="A73" t="s">
        <v>257</v>
      </c>
      <c r="B73" t="s">
        <v>105</v>
      </c>
      <c r="C73" t="s">
        <v>34</v>
      </c>
      <c r="D73" t="s">
        <v>258</v>
      </c>
      <c r="E73" t="s">
        <v>36</v>
      </c>
      <c r="F73" t="s">
        <v>259</v>
      </c>
      <c r="G73" t="s">
        <v>38</v>
      </c>
      <c r="H73" s="2">
        <v>44994</v>
      </c>
      <c r="I73" s="2">
        <v>42565</v>
      </c>
      <c r="J73" t="s">
        <v>27</v>
      </c>
      <c r="K73" t="s">
        <v>28</v>
      </c>
      <c r="L73" t="s">
        <v>50</v>
      </c>
      <c r="M73" s="3">
        <v>792662</v>
      </c>
      <c r="N73" s="3">
        <v>51857</v>
      </c>
      <c r="O73">
        <v>79</v>
      </c>
      <c r="P73">
        <v>63</v>
      </c>
      <c r="Q73">
        <v>82</v>
      </c>
      <c r="R73">
        <v>1</v>
      </c>
      <c r="S73" t="s">
        <v>30</v>
      </c>
      <c r="T73" t="s">
        <v>83</v>
      </c>
      <c r="U73" t="str">
        <v>Senior</v>
      </c>
      <c r="V73" t="str">
        <v>Met Target</v>
      </c>
      <c r="W73" t="str">
        <v>Normal</v>
      </c>
      <c r="X73" t="str">
        <v>Normal Review</v>
      </c>
      <c r="Y73">
        <f>VLOOKUP($L73,Lookup_Table!$A$1:$D$4,4,FALSE)</f>
        <v>0.12</v>
      </c>
      <c r="Z73">
        <f t="shared" si="2"/>
        <v>95119.44</v>
      </c>
      <c r="AA73" s="3">
        <f t="shared" si="3"/>
        <v>939638.44</v>
      </c>
      <c r="AB73">
        <f>VLOOKUP($L73,Lookup_Table!$A$2:$D$4,2,FALSE)</f>
        <v>550000</v>
      </c>
      <c r="AC73">
        <f>VLOOKUP($L73,Lookup_Table!$A$2:$D$4,3,FALSE)</f>
        <v>999999</v>
      </c>
      <c r="AD73">
        <f>VLOOKUP($L73,Lookup_Table!$A$2:$D$4,4)</f>
        <v>0.12</v>
      </c>
      <c r="AE73" t="str" cm="1">
        <f t="array" ref="AE73">IF(AA73:AA73,"Correct Band","Check Band")</f>
        <v>Correct Band</v>
      </c>
    </row>
    <row r="74" spans="1:31" x14ac:dyDescent="0.25">
      <c r="A74" t="s">
        <v>260</v>
      </c>
      <c r="B74" t="s">
        <v>110</v>
      </c>
      <c r="C74" t="s">
        <v>44</v>
      </c>
      <c r="D74" t="s">
        <v>261</v>
      </c>
      <c r="E74" t="s">
        <v>46</v>
      </c>
      <c r="F74" t="s">
        <v>47</v>
      </c>
      <c r="G74" t="s">
        <v>48</v>
      </c>
      <c r="H74" s="2">
        <v>44446</v>
      </c>
      <c r="I74" s="2">
        <v>35400</v>
      </c>
      <c r="J74" t="s">
        <v>27</v>
      </c>
      <c r="K74" t="s">
        <v>28</v>
      </c>
      <c r="L74" t="s">
        <v>29</v>
      </c>
      <c r="M74" s="3">
        <v>284886</v>
      </c>
      <c r="N74" s="3">
        <v>149214</v>
      </c>
      <c r="O74">
        <v>59</v>
      </c>
      <c r="P74">
        <v>43</v>
      </c>
      <c r="Q74">
        <v>73</v>
      </c>
      <c r="R74">
        <v>7</v>
      </c>
      <c r="S74" t="s">
        <v>103</v>
      </c>
      <c r="T74" t="s">
        <v>41</v>
      </c>
      <c r="U74" t="str">
        <v>Junior</v>
      </c>
      <c r="V74" t="str">
        <v>Met Target</v>
      </c>
      <c r="W74" t="str">
        <v>Normal</v>
      </c>
      <c r="X74" t="str">
        <v>Review For Reward</v>
      </c>
      <c r="Y74">
        <f>VLOOKUP($L74,Lookup_Table!$A$1:$D$4,4,FALSE)</f>
        <v>0.05</v>
      </c>
      <c r="Z74">
        <f t="shared" si="2"/>
        <v>14244.300000000001</v>
      </c>
      <c r="AA74" s="3">
        <f t="shared" si="3"/>
        <v>448344.3</v>
      </c>
      <c r="AB74">
        <f>VLOOKUP($L74,Lookup_Table!$A$2:$D$4,2,FALSE)</f>
        <v>180000</v>
      </c>
      <c r="AC74">
        <f>VLOOKUP($L74,Lookup_Table!$A$2:$D$4,3,FALSE)</f>
        <v>319999</v>
      </c>
      <c r="AD74">
        <f>VLOOKUP($L74,Lookup_Table!$A$2:$D$4,4)</f>
        <v>0.05</v>
      </c>
      <c r="AE74" t="str" cm="1">
        <f t="array" ref="AE74">IF(AA74:AA74,"Correct Band","Check Band")</f>
        <v>Correct Band</v>
      </c>
    </row>
    <row r="75" spans="1:31" x14ac:dyDescent="0.25">
      <c r="A75" t="s">
        <v>262</v>
      </c>
      <c r="B75" t="s">
        <v>114</v>
      </c>
      <c r="C75" t="s">
        <v>54</v>
      </c>
      <c r="D75" t="s">
        <v>263</v>
      </c>
      <c r="E75" t="s">
        <v>56</v>
      </c>
      <c r="F75" t="s">
        <v>57</v>
      </c>
      <c r="G75" t="s">
        <v>58</v>
      </c>
      <c r="H75" s="2">
        <v>45081</v>
      </c>
      <c r="I75" s="2">
        <v>42512</v>
      </c>
      <c r="J75" t="s">
        <v>49</v>
      </c>
      <c r="K75" t="s">
        <v>28</v>
      </c>
      <c r="L75" t="s">
        <v>40</v>
      </c>
      <c r="M75" s="3">
        <v>490266</v>
      </c>
      <c r="N75" s="3">
        <v>21087</v>
      </c>
      <c r="O75">
        <v>75</v>
      </c>
      <c r="P75">
        <v>72</v>
      </c>
      <c r="Q75">
        <v>93</v>
      </c>
      <c r="R75">
        <v>0</v>
      </c>
      <c r="S75" t="s">
        <v>59</v>
      </c>
      <c r="T75" t="s">
        <v>68</v>
      </c>
      <c r="U75" t="str">
        <v>Mid_Level</v>
      </c>
      <c r="V75" t="str">
        <v>Met Target</v>
      </c>
      <c r="W75" t="str">
        <v>Normal</v>
      </c>
      <c r="X75" t="str">
        <v>Normal Review</v>
      </c>
      <c r="Y75">
        <f>VLOOKUP($L75,Lookup_Table!$A$1:$D$4,4,FALSE)</f>
        <v>0.08</v>
      </c>
      <c r="Z75">
        <f t="shared" si="2"/>
        <v>39221.279999999999</v>
      </c>
      <c r="AA75" s="3">
        <f t="shared" si="3"/>
        <v>550574.28</v>
      </c>
      <c r="AB75">
        <f>VLOOKUP($L75,Lookup_Table!$A$2:$D$4,2,FALSE)</f>
        <v>320000</v>
      </c>
      <c r="AC75">
        <f>VLOOKUP($L75,Lookup_Table!$A$2:$D$4,3,FALSE)</f>
        <v>549999</v>
      </c>
      <c r="AD75">
        <f>VLOOKUP($L75,Lookup_Table!$A$2:$D$4,4)</f>
        <v>0.08</v>
      </c>
      <c r="AE75" t="str" cm="1">
        <f t="array" ref="AE75">IF(AA75:AA75,"Correct Band","Check Band")</f>
        <v>Correct Band</v>
      </c>
    </row>
    <row r="76" spans="1:31" x14ac:dyDescent="0.25">
      <c r="A76" t="s">
        <v>264</v>
      </c>
      <c r="B76" t="s">
        <v>119</v>
      </c>
      <c r="C76" t="s">
        <v>62</v>
      </c>
      <c r="D76" t="s">
        <v>265</v>
      </c>
      <c r="E76" t="s">
        <v>64</v>
      </c>
      <c r="F76" t="s">
        <v>65</v>
      </c>
      <c r="G76" t="s">
        <v>66</v>
      </c>
      <c r="H76" s="2">
        <v>44861</v>
      </c>
      <c r="I76" s="2">
        <v>31471</v>
      </c>
      <c r="J76" t="s">
        <v>27</v>
      </c>
      <c r="K76" t="s">
        <v>67</v>
      </c>
      <c r="L76" t="s">
        <v>50</v>
      </c>
      <c r="M76" s="3">
        <v>779129</v>
      </c>
      <c r="N76" s="3">
        <v>70650</v>
      </c>
      <c r="O76">
        <v>55</v>
      </c>
      <c r="P76">
        <v>49</v>
      </c>
      <c r="Q76">
        <v>91</v>
      </c>
      <c r="R76">
        <v>0</v>
      </c>
      <c r="S76" t="s">
        <v>51</v>
      </c>
      <c r="T76" t="s">
        <v>41</v>
      </c>
      <c r="U76" t="str">
        <v>Senior</v>
      </c>
      <c r="V76" t="str">
        <v>Met Target</v>
      </c>
      <c r="W76" t="str">
        <v>Normal</v>
      </c>
      <c r="X76" t="str">
        <v>Normal Review</v>
      </c>
      <c r="Y76">
        <f>VLOOKUP($L76,Lookup_Table!$A$1:$D$4,4,FALSE)</f>
        <v>0.12</v>
      </c>
      <c r="Z76">
        <f t="shared" si="2"/>
        <v>93495.48</v>
      </c>
      <c r="AA76" s="3">
        <f t="shared" si="3"/>
        <v>943274.48</v>
      </c>
      <c r="AB76">
        <f>VLOOKUP($L76,Lookup_Table!$A$2:$D$4,2,FALSE)</f>
        <v>550000</v>
      </c>
      <c r="AC76">
        <f>VLOOKUP($L76,Lookup_Table!$A$2:$D$4,3,FALSE)</f>
        <v>999999</v>
      </c>
      <c r="AD76">
        <f>VLOOKUP($L76,Lookup_Table!$A$2:$D$4,4)</f>
        <v>0.12</v>
      </c>
      <c r="AE76" t="str" cm="1">
        <f t="array" ref="AE76">IF(AA76:AA76,"Correct Band","Check Band")</f>
        <v>Correct Band</v>
      </c>
    </row>
    <row r="77" spans="1:31" x14ac:dyDescent="0.25">
      <c r="A77" t="s">
        <v>266</v>
      </c>
      <c r="B77" t="s">
        <v>122</v>
      </c>
      <c r="C77" t="s">
        <v>71</v>
      </c>
      <c r="D77" t="s">
        <v>267</v>
      </c>
      <c r="E77" t="s">
        <v>73</v>
      </c>
      <c r="F77" t="s">
        <v>74</v>
      </c>
      <c r="G77" t="s">
        <v>75</v>
      </c>
      <c r="H77" s="2">
        <v>45647</v>
      </c>
      <c r="I77" s="2">
        <v>35605</v>
      </c>
      <c r="J77" t="s">
        <v>49</v>
      </c>
      <c r="K77" t="s">
        <v>28</v>
      </c>
      <c r="L77" t="s">
        <v>29</v>
      </c>
      <c r="M77" s="3">
        <v>268021</v>
      </c>
      <c r="N77" s="3">
        <v>123210</v>
      </c>
      <c r="O77">
        <v>61</v>
      </c>
      <c r="P77">
        <v>78</v>
      </c>
      <c r="Q77">
        <v>77</v>
      </c>
      <c r="R77">
        <v>6</v>
      </c>
      <c r="S77" t="s">
        <v>51</v>
      </c>
      <c r="T77" t="s">
        <v>68</v>
      </c>
      <c r="U77" t="str">
        <v>Junior</v>
      </c>
      <c r="V77" t="str">
        <v>Below Target</v>
      </c>
      <c r="W77" t="str">
        <v>Normal</v>
      </c>
      <c r="X77" t="str">
        <v>Normal Review</v>
      </c>
      <c r="Y77">
        <f>VLOOKUP($L77,Lookup_Table!$A$1:$D$4,4,FALSE)</f>
        <v>0.05</v>
      </c>
      <c r="Z77">
        <f t="shared" si="2"/>
        <v>13401.050000000001</v>
      </c>
      <c r="AA77" s="3">
        <f t="shared" si="3"/>
        <v>404632.05</v>
      </c>
      <c r="AB77">
        <f>VLOOKUP($L77,Lookup_Table!$A$2:$D$4,2,FALSE)</f>
        <v>180000</v>
      </c>
      <c r="AC77">
        <f>VLOOKUP($L77,Lookup_Table!$A$2:$D$4,3,FALSE)</f>
        <v>319999</v>
      </c>
      <c r="AD77">
        <f>VLOOKUP($L77,Lookup_Table!$A$2:$D$4,4)</f>
        <v>0.05</v>
      </c>
      <c r="AE77" t="str" cm="1">
        <f t="array" ref="AE77">IF(AA77:AA77,"Correct Band","Check Band")</f>
        <v>Correct Band</v>
      </c>
    </row>
    <row r="78" spans="1:31" x14ac:dyDescent="0.25">
      <c r="A78" t="s">
        <v>268</v>
      </c>
      <c r="B78" t="s">
        <v>125</v>
      </c>
      <c r="C78" t="s">
        <v>78</v>
      </c>
      <c r="D78" t="s">
        <v>269</v>
      </c>
      <c r="E78" t="s">
        <v>80</v>
      </c>
      <c r="F78" t="s">
        <v>165</v>
      </c>
      <c r="G78" t="s">
        <v>82</v>
      </c>
      <c r="H78" s="2">
        <v>44264</v>
      </c>
      <c r="I78" s="2">
        <v>33682</v>
      </c>
      <c r="J78" t="s">
        <v>49</v>
      </c>
      <c r="K78" t="s">
        <v>28</v>
      </c>
      <c r="L78" t="s">
        <v>40</v>
      </c>
      <c r="M78" s="3">
        <v>487835</v>
      </c>
      <c r="N78" s="3">
        <v>104976</v>
      </c>
      <c r="O78">
        <v>71</v>
      </c>
      <c r="P78">
        <v>77</v>
      </c>
      <c r="Q78">
        <v>90</v>
      </c>
      <c r="R78">
        <v>0</v>
      </c>
      <c r="S78" t="s">
        <v>59</v>
      </c>
      <c r="T78" t="s">
        <v>31</v>
      </c>
      <c r="U78" t="str">
        <v>Mid_Level</v>
      </c>
      <c r="V78" t="str">
        <v>Below Target</v>
      </c>
      <c r="W78" t="str">
        <v>Normal</v>
      </c>
      <c r="X78" t="str">
        <v>Normal Review</v>
      </c>
      <c r="Y78">
        <f>VLOOKUP($L78,Lookup_Table!$A$1:$D$4,4,FALSE)</f>
        <v>0.08</v>
      </c>
      <c r="Z78">
        <f t="shared" si="2"/>
        <v>39026.800000000003</v>
      </c>
      <c r="AA78" s="3">
        <f t="shared" si="3"/>
        <v>631837.80000000005</v>
      </c>
      <c r="AB78">
        <f>VLOOKUP($L78,Lookup_Table!$A$2:$D$4,2,FALSE)</f>
        <v>320000</v>
      </c>
      <c r="AC78">
        <f>VLOOKUP($L78,Lookup_Table!$A$2:$D$4,3,FALSE)</f>
        <v>549999</v>
      </c>
      <c r="AD78">
        <f>VLOOKUP($L78,Lookup_Table!$A$2:$D$4,4)</f>
        <v>0.08</v>
      </c>
      <c r="AE78" t="str" cm="1">
        <f t="array" ref="AE78">IF(AA78:AA78,"Correct Band","Check Band")</f>
        <v>Correct Band</v>
      </c>
    </row>
    <row r="79" spans="1:31" x14ac:dyDescent="0.25">
      <c r="A79" t="s">
        <v>270</v>
      </c>
      <c r="B79" t="s">
        <v>129</v>
      </c>
      <c r="C79" t="s">
        <v>86</v>
      </c>
      <c r="D79" t="s">
        <v>271</v>
      </c>
      <c r="E79" t="s">
        <v>24</v>
      </c>
      <c r="F79" t="s">
        <v>169</v>
      </c>
      <c r="G79" t="s">
        <v>26</v>
      </c>
      <c r="H79" s="2">
        <v>44869</v>
      </c>
      <c r="I79" s="2">
        <v>36344</v>
      </c>
      <c r="J79" t="s">
        <v>27</v>
      </c>
      <c r="K79" t="s">
        <v>67</v>
      </c>
      <c r="L79" t="s">
        <v>50</v>
      </c>
      <c r="M79" s="3">
        <v>741224</v>
      </c>
      <c r="N79" s="3">
        <v>142237</v>
      </c>
      <c r="O79">
        <v>57</v>
      </c>
      <c r="P79">
        <v>62</v>
      </c>
      <c r="Q79">
        <v>84</v>
      </c>
      <c r="R79">
        <v>6</v>
      </c>
      <c r="S79" t="s">
        <v>103</v>
      </c>
      <c r="T79" t="s">
        <v>83</v>
      </c>
      <c r="U79" t="str">
        <v>Senior</v>
      </c>
      <c r="V79" t="str">
        <v>Below Target</v>
      </c>
      <c r="W79" t="str">
        <v>Normal</v>
      </c>
      <c r="X79" t="str">
        <v>Review For Reward</v>
      </c>
      <c r="Y79">
        <f>VLOOKUP($L79,Lookup_Table!$A$1:$D$4,4,FALSE)</f>
        <v>0.12</v>
      </c>
      <c r="Z79">
        <f t="shared" si="2"/>
        <v>88946.87999999999</v>
      </c>
      <c r="AA79" s="3">
        <f t="shared" si="3"/>
        <v>972407.88</v>
      </c>
      <c r="AB79">
        <f>VLOOKUP($L79,Lookup_Table!$A$2:$D$4,2,FALSE)</f>
        <v>550000</v>
      </c>
      <c r="AC79">
        <f>VLOOKUP($L79,Lookup_Table!$A$2:$D$4,3,FALSE)</f>
        <v>999999</v>
      </c>
      <c r="AD79">
        <f>VLOOKUP($L79,Lookup_Table!$A$2:$D$4,4)</f>
        <v>0.12</v>
      </c>
      <c r="AE79" t="str" cm="1">
        <f t="array" ref="AE79">IF(AA79:AA79,"Correct Band","Check Band")</f>
        <v>Correct Band</v>
      </c>
    </row>
    <row r="80" spans="1:31" x14ac:dyDescent="0.25">
      <c r="A80" t="s">
        <v>272</v>
      </c>
      <c r="B80" t="s">
        <v>133</v>
      </c>
      <c r="C80" t="s">
        <v>91</v>
      </c>
      <c r="D80" t="s">
        <v>273</v>
      </c>
      <c r="E80" t="s">
        <v>36</v>
      </c>
      <c r="F80" t="s">
        <v>259</v>
      </c>
      <c r="G80" t="s">
        <v>38</v>
      </c>
      <c r="H80" s="2">
        <v>45317</v>
      </c>
      <c r="I80" s="2">
        <v>41249</v>
      </c>
      <c r="J80" t="s">
        <v>49</v>
      </c>
      <c r="K80" t="s">
        <v>28</v>
      </c>
      <c r="L80" t="s">
        <v>29</v>
      </c>
      <c r="M80" s="3">
        <v>267952</v>
      </c>
      <c r="N80" s="3">
        <v>53361</v>
      </c>
      <c r="O80">
        <v>98</v>
      </c>
      <c r="P80">
        <v>109</v>
      </c>
      <c r="Q80">
        <v>72</v>
      </c>
      <c r="R80">
        <v>8</v>
      </c>
      <c r="S80" t="s">
        <v>51</v>
      </c>
      <c r="T80" t="s">
        <v>68</v>
      </c>
      <c r="U80" t="str">
        <v>Junior</v>
      </c>
      <c r="V80" t="str">
        <v>Below Target</v>
      </c>
      <c r="W80" t="str">
        <v>High Absence</v>
      </c>
      <c r="X80" t="str">
        <v>Normal Review</v>
      </c>
      <c r="Y80">
        <f>VLOOKUP($L80,Lookup_Table!$A$1:$D$4,4,FALSE)</f>
        <v>0.05</v>
      </c>
      <c r="Z80">
        <f t="shared" si="2"/>
        <v>13397.6</v>
      </c>
      <c r="AA80" s="3">
        <f t="shared" si="3"/>
        <v>334710.59999999998</v>
      </c>
      <c r="AB80">
        <f>VLOOKUP($L80,Lookup_Table!$A$2:$D$4,2,FALSE)</f>
        <v>180000</v>
      </c>
      <c r="AC80">
        <f>VLOOKUP($L80,Lookup_Table!$A$2:$D$4,3,FALSE)</f>
        <v>319999</v>
      </c>
      <c r="AD80">
        <f>VLOOKUP($L80,Lookup_Table!$A$2:$D$4,4)</f>
        <v>0.05</v>
      </c>
      <c r="AE80" t="str" cm="1">
        <f t="array" ref="AE80">IF(AA80:AA80,"Correct Band","Check Band")</f>
        <v>Correct Band</v>
      </c>
    </row>
    <row r="81" spans="1:31" x14ac:dyDescent="0.25">
      <c r="A81" t="s">
        <v>274</v>
      </c>
      <c r="B81" t="s">
        <v>136</v>
      </c>
      <c r="C81" t="s">
        <v>96</v>
      </c>
      <c r="D81" t="s">
        <v>275</v>
      </c>
      <c r="E81" t="s">
        <v>46</v>
      </c>
      <c r="F81" t="s">
        <v>127</v>
      </c>
      <c r="G81" t="s">
        <v>48</v>
      </c>
      <c r="H81" s="2">
        <v>45821</v>
      </c>
      <c r="I81" s="2">
        <v>33037</v>
      </c>
      <c r="J81" t="s">
        <v>27</v>
      </c>
      <c r="K81" t="s">
        <v>67</v>
      </c>
      <c r="L81" t="s">
        <v>40</v>
      </c>
      <c r="M81" s="3">
        <v>457424</v>
      </c>
      <c r="N81" s="3">
        <v>41517</v>
      </c>
      <c r="O81">
        <v>51</v>
      </c>
      <c r="P81">
        <v>71</v>
      </c>
      <c r="Q81">
        <v>74</v>
      </c>
      <c r="R81">
        <v>8</v>
      </c>
      <c r="S81" t="s">
        <v>103</v>
      </c>
      <c r="T81" t="s">
        <v>93</v>
      </c>
      <c r="U81" t="str">
        <v>Mid_Level</v>
      </c>
      <c r="V81" t="str">
        <v>Below Target</v>
      </c>
      <c r="W81" t="str">
        <v>High Absence</v>
      </c>
      <c r="X81" t="str">
        <v>Review For Reward</v>
      </c>
      <c r="Y81">
        <f>VLOOKUP($L81,Lookup_Table!$A$1:$D$4,4,FALSE)</f>
        <v>0.08</v>
      </c>
      <c r="Z81">
        <f t="shared" si="2"/>
        <v>36593.919999999998</v>
      </c>
      <c r="AA81" s="3">
        <f t="shared" si="3"/>
        <v>535534.92000000004</v>
      </c>
      <c r="AB81">
        <f>VLOOKUP($L81,Lookup_Table!$A$2:$D$4,2,FALSE)</f>
        <v>320000</v>
      </c>
      <c r="AC81">
        <f>VLOOKUP($L81,Lookup_Table!$A$2:$D$4,3,FALSE)</f>
        <v>549999</v>
      </c>
      <c r="AD81">
        <f>VLOOKUP($L81,Lookup_Table!$A$2:$D$4,4)</f>
        <v>0.08</v>
      </c>
      <c r="AE81" t="str" cm="1">
        <f t="array" ref="AE81">IF(AA81:AA81,"Correct Band","Check Band")</f>
        <v>Correct Band</v>
      </c>
    </row>
    <row r="82" spans="1:31" x14ac:dyDescent="0.25">
      <c r="A82" t="s">
        <v>276</v>
      </c>
      <c r="B82" t="s">
        <v>140</v>
      </c>
      <c r="C82" t="s">
        <v>100</v>
      </c>
      <c r="D82" t="s">
        <v>277</v>
      </c>
      <c r="E82" t="s">
        <v>56</v>
      </c>
      <c r="F82" t="s">
        <v>131</v>
      </c>
      <c r="G82" t="s">
        <v>58</v>
      </c>
      <c r="H82" s="2">
        <v>44217</v>
      </c>
      <c r="I82" s="2">
        <v>34729</v>
      </c>
      <c r="J82" t="s">
        <v>27</v>
      </c>
      <c r="K82" t="s">
        <v>28</v>
      </c>
      <c r="L82" t="s">
        <v>50</v>
      </c>
      <c r="M82" s="3">
        <v>753476</v>
      </c>
      <c r="N82" s="3">
        <v>76509</v>
      </c>
      <c r="O82">
        <v>57</v>
      </c>
      <c r="P82">
        <v>66</v>
      </c>
      <c r="Q82">
        <v>87</v>
      </c>
      <c r="R82">
        <v>11</v>
      </c>
      <c r="S82" t="s">
        <v>51</v>
      </c>
      <c r="T82" t="s">
        <v>41</v>
      </c>
      <c r="U82" t="str">
        <v>Senior</v>
      </c>
      <c r="V82" t="str">
        <v>Below Target</v>
      </c>
      <c r="W82" t="str">
        <v>High Absence</v>
      </c>
      <c r="X82" t="str">
        <v>Normal Review</v>
      </c>
      <c r="Y82">
        <f>VLOOKUP($L82,Lookup_Table!$A$1:$D$4,4,FALSE)</f>
        <v>0.12</v>
      </c>
      <c r="Z82">
        <f t="shared" si="2"/>
        <v>90417.12</v>
      </c>
      <c r="AA82" s="3">
        <f t="shared" si="3"/>
        <v>920402.12</v>
      </c>
      <c r="AB82">
        <f>VLOOKUP($L82,Lookup_Table!$A$2:$D$4,2,FALSE)</f>
        <v>550000</v>
      </c>
      <c r="AC82">
        <f>VLOOKUP($L82,Lookup_Table!$A$2:$D$4,3,FALSE)</f>
        <v>999999</v>
      </c>
      <c r="AD82">
        <f>VLOOKUP($L82,Lookup_Table!$A$2:$D$4,4)</f>
        <v>0.12</v>
      </c>
      <c r="AE82" t="str" cm="1">
        <f t="array" ref="AE82">IF(AA82:AA82,"Correct Band","Check Band")</f>
        <v>Correct Band</v>
      </c>
    </row>
    <row r="83" spans="1:31" x14ac:dyDescent="0.25">
      <c r="A83" t="s">
        <v>278</v>
      </c>
      <c r="B83" t="s">
        <v>143</v>
      </c>
      <c r="C83" t="s">
        <v>106</v>
      </c>
      <c r="D83" t="s">
        <v>279</v>
      </c>
      <c r="E83" t="s">
        <v>64</v>
      </c>
      <c r="F83" t="s">
        <v>180</v>
      </c>
      <c r="G83" t="s">
        <v>66</v>
      </c>
      <c r="H83" s="2">
        <v>45770</v>
      </c>
      <c r="I83" s="2">
        <v>35041</v>
      </c>
      <c r="J83" t="s">
        <v>49</v>
      </c>
      <c r="K83" t="s">
        <v>28</v>
      </c>
      <c r="L83" t="s">
        <v>29</v>
      </c>
      <c r="M83" s="3">
        <v>263242</v>
      </c>
      <c r="N83" s="3">
        <v>133232</v>
      </c>
      <c r="O83">
        <v>79</v>
      </c>
      <c r="P83">
        <v>94</v>
      </c>
      <c r="Q83">
        <v>63</v>
      </c>
      <c r="R83">
        <v>1</v>
      </c>
      <c r="S83" t="s">
        <v>51</v>
      </c>
      <c r="T83" t="s">
        <v>41</v>
      </c>
      <c r="U83" t="str">
        <v>Junior</v>
      </c>
      <c r="V83" t="str">
        <v>Below Target</v>
      </c>
      <c r="W83" t="str">
        <v>Normal</v>
      </c>
      <c r="X83" t="str">
        <v>Normal Review</v>
      </c>
      <c r="Y83">
        <f>VLOOKUP($L83,Lookup_Table!$A$1:$D$4,4,FALSE)</f>
        <v>0.05</v>
      </c>
      <c r="Z83">
        <f t="shared" si="2"/>
        <v>13162.1</v>
      </c>
      <c r="AA83" s="3">
        <f t="shared" si="3"/>
        <v>409636.1</v>
      </c>
      <c r="AB83">
        <f>VLOOKUP($L83,Lookup_Table!$A$2:$D$4,2,FALSE)</f>
        <v>180000</v>
      </c>
      <c r="AC83">
        <f>VLOOKUP($L83,Lookup_Table!$A$2:$D$4,3,FALSE)</f>
        <v>319999</v>
      </c>
      <c r="AD83">
        <f>VLOOKUP($L83,Lookup_Table!$A$2:$D$4,4)</f>
        <v>0.05</v>
      </c>
      <c r="AE83" t="str" cm="1">
        <f t="array" ref="AE83">IF(AA83:AA83,"Correct Band","Check Band")</f>
        <v>Correct Band</v>
      </c>
    </row>
    <row r="84" spans="1:31" x14ac:dyDescent="0.25">
      <c r="A84" t="s">
        <v>280</v>
      </c>
      <c r="B84" t="s">
        <v>146</v>
      </c>
      <c r="C84" t="s">
        <v>111</v>
      </c>
      <c r="D84" t="s">
        <v>281</v>
      </c>
      <c r="E84" t="s">
        <v>73</v>
      </c>
      <c r="F84" t="s">
        <v>138</v>
      </c>
      <c r="G84" t="s">
        <v>75</v>
      </c>
      <c r="H84" s="2">
        <v>45915</v>
      </c>
      <c r="I84" s="2">
        <v>35425</v>
      </c>
      <c r="J84" t="s">
        <v>27</v>
      </c>
      <c r="K84" t="s">
        <v>39</v>
      </c>
      <c r="L84" t="s">
        <v>40</v>
      </c>
      <c r="M84" s="3">
        <v>444548</v>
      </c>
      <c r="N84" s="3">
        <v>128356</v>
      </c>
      <c r="O84">
        <v>50</v>
      </c>
      <c r="P84">
        <v>48</v>
      </c>
      <c r="Q84">
        <v>64</v>
      </c>
      <c r="R84">
        <v>7</v>
      </c>
      <c r="S84" t="s">
        <v>30</v>
      </c>
      <c r="T84" t="s">
        <v>41</v>
      </c>
      <c r="U84" t="str">
        <v>Mid_Level</v>
      </c>
      <c r="V84" t="str">
        <v>Met Target</v>
      </c>
      <c r="W84" t="str">
        <v>Normal</v>
      </c>
      <c r="X84" t="str">
        <v>Normal Review</v>
      </c>
      <c r="Y84">
        <f>VLOOKUP($L84,Lookup_Table!$A$1:$D$4,4,FALSE)</f>
        <v>0.08</v>
      </c>
      <c r="Z84">
        <f t="shared" si="2"/>
        <v>35563.840000000004</v>
      </c>
      <c r="AA84" s="3">
        <f t="shared" si="3"/>
        <v>608467.84</v>
      </c>
      <c r="AB84">
        <f>VLOOKUP($L84,Lookup_Table!$A$2:$D$4,2,FALSE)</f>
        <v>320000</v>
      </c>
      <c r="AC84">
        <f>VLOOKUP($L84,Lookup_Table!$A$2:$D$4,3,FALSE)</f>
        <v>549999</v>
      </c>
      <c r="AD84">
        <f>VLOOKUP($L84,Lookup_Table!$A$2:$D$4,4)</f>
        <v>0.08</v>
      </c>
      <c r="AE84" t="str" cm="1">
        <f t="array" ref="AE84">IF(AA84:AA84,"Correct Band","Check Band")</f>
        <v>Correct Band</v>
      </c>
    </row>
    <row r="85" spans="1:31" x14ac:dyDescent="0.25">
      <c r="A85" t="s">
        <v>282</v>
      </c>
      <c r="B85" t="s">
        <v>150</v>
      </c>
      <c r="C85" t="s">
        <v>115</v>
      </c>
      <c r="D85" t="s">
        <v>283</v>
      </c>
      <c r="E85" t="s">
        <v>80</v>
      </c>
      <c r="F85" t="s">
        <v>117</v>
      </c>
      <c r="G85" t="s">
        <v>82</v>
      </c>
      <c r="H85" s="2">
        <v>45197</v>
      </c>
      <c r="I85" s="2">
        <v>40090</v>
      </c>
      <c r="J85" t="s">
        <v>49</v>
      </c>
      <c r="K85" t="s">
        <v>28</v>
      </c>
      <c r="L85" t="s">
        <v>50</v>
      </c>
      <c r="M85" s="3">
        <v>745236</v>
      </c>
      <c r="N85" s="3">
        <v>49454</v>
      </c>
      <c r="O85">
        <v>98</v>
      </c>
      <c r="P85">
        <v>112</v>
      </c>
      <c r="Q85">
        <v>70</v>
      </c>
      <c r="R85">
        <v>9</v>
      </c>
      <c r="S85" t="s">
        <v>59</v>
      </c>
      <c r="T85" t="s">
        <v>83</v>
      </c>
      <c r="U85" t="str">
        <v>Senior</v>
      </c>
      <c r="V85" t="str">
        <v>Below Target</v>
      </c>
      <c r="W85" t="str">
        <v>High Absence</v>
      </c>
      <c r="X85" t="str">
        <v>Normal Review</v>
      </c>
      <c r="Y85">
        <f>VLOOKUP($L85,Lookup_Table!$A$1:$D$4,4,FALSE)</f>
        <v>0.12</v>
      </c>
      <c r="Z85">
        <f t="shared" si="2"/>
        <v>89428.319999999992</v>
      </c>
      <c r="AA85" s="3">
        <f t="shared" si="3"/>
        <v>884118.32</v>
      </c>
      <c r="AB85">
        <f>VLOOKUP($L85,Lookup_Table!$A$2:$D$4,2,FALSE)</f>
        <v>550000</v>
      </c>
      <c r="AC85">
        <f>VLOOKUP($L85,Lookup_Table!$A$2:$D$4,3,FALSE)</f>
        <v>999999</v>
      </c>
      <c r="AD85">
        <f>VLOOKUP($L85,Lookup_Table!$A$2:$D$4,4)</f>
        <v>0.12</v>
      </c>
      <c r="AE85" t="str" cm="1">
        <f t="array" ref="AE85">IF(AA85:AA85,"Correct Band","Check Band")</f>
        <v>Correct Band</v>
      </c>
    </row>
    <row r="86" spans="1:31" x14ac:dyDescent="0.25">
      <c r="A86" t="s">
        <v>284</v>
      </c>
      <c r="B86" t="s">
        <v>153</v>
      </c>
      <c r="C86" t="s">
        <v>22</v>
      </c>
      <c r="D86" t="s">
        <v>285</v>
      </c>
      <c r="E86" t="s">
        <v>24</v>
      </c>
      <c r="F86" t="s">
        <v>169</v>
      </c>
      <c r="G86" t="s">
        <v>26</v>
      </c>
      <c r="H86" s="2">
        <v>44014</v>
      </c>
      <c r="I86" s="2">
        <v>36261</v>
      </c>
      <c r="J86" t="s">
        <v>49</v>
      </c>
      <c r="K86" t="s">
        <v>28</v>
      </c>
      <c r="L86" t="s">
        <v>29</v>
      </c>
      <c r="M86" s="3">
        <v>253841</v>
      </c>
      <c r="N86" s="3">
        <v>39873</v>
      </c>
      <c r="O86">
        <v>97</v>
      </c>
      <c r="P86">
        <v>107</v>
      </c>
      <c r="Q86">
        <v>86</v>
      </c>
      <c r="R86">
        <v>0</v>
      </c>
      <c r="S86" t="s">
        <v>51</v>
      </c>
      <c r="T86" t="s">
        <v>93</v>
      </c>
      <c r="U86" t="str">
        <v>Junior</v>
      </c>
      <c r="V86" t="str">
        <v>Below Target</v>
      </c>
      <c r="W86" t="str">
        <v>Normal</v>
      </c>
      <c r="X86" t="str">
        <v>Normal Review</v>
      </c>
      <c r="Y86">
        <f>VLOOKUP($L86,Lookup_Table!$A$1:$D$4,4,FALSE)</f>
        <v>0.05</v>
      </c>
      <c r="Z86">
        <f t="shared" si="2"/>
        <v>12692.050000000001</v>
      </c>
      <c r="AA86" s="3">
        <f t="shared" si="3"/>
        <v>306406.05</v>
      </c>
      <c r="AB86">
        <f>VLOOKUP($L86,Lookup_Table!$A$2:$D$4,2,FALSE)</f>
        <v>180000</v>
      </c>
      <c r="AC86">
        <f>VLOOKUP($L86,Lookup_Table!$A$2:$D$4,3,FALSE)</f>
        <v>319999</v>
      </c>
      <c r="AD86">
        <f>VLOOKUP($L86,Lookup_Table!$A$2:$D$4,4)</f>
        <v>0.05</v>
      </c>
      <c r="AE86" t="str" cm="1">
        <f t="array" ref="AE86">IF(AA86:AA86,"Correct Band","Check Band")</f>
        <v>Correct Band</v>
      </c>
    </row>
    <row r="87" spans="1:31" x14ac:dyDescent="0.25">
      <c r="A87" t="s">
        <v>286</v>
      </c>
      <c r="B87" t="s">
        <v>156</v>
      </c>
      <c r="C87" t="s">
        <v>34</v>
      </c>
      <c r="D87" t="s">
        <v>287</v>
      </c>
      <c r="E87" t="s">
        <v>36</v>
      </c>
      <c r="F87" t="s">
        <v>259</v>
      </c>
      <c r="G87" t="s">
        <v>38</v>
      </c>
      <c r="H87" s="2">
        <v>45195</v>
      </c>
      <c r="I87" s="2">
        <v>32692</v>
      </c>
      <c r="J87" t="s">
        <v>49</v>
      </c>
      <c r="K87" t="s">
        <v>28</v>
      </c>
      <c r="L87" t="s">
        <v>40</v>
      </c>
      <c r="M87" s="3">
        <v>477356</v>
      </c>
      <c r="N87" s="3">
        <v>37789</v>
      </c>
      <c r="O87">
        <v>78</v>
      </c>
      <c r="P87">
        <v>64</v>
      </c>
      <c r="Q87">
        <v>81</v>
      </c>
      <c r="R87">
        <v>10</v>
      </c>
      <c r="S87" t="s">
        <v>51</v>
      </c>
      <c r="T87" t="s">
        <v>31</v>
      </c>
      <c r="U87" t="str">
        <v>Mid_Level</v>
      </c>
      <c r="V87" t="str">
        <v>Met Target</v>
      </c>
      <c r="W87" t="str">
        <v>High Absence</v>
      </c>
      <c r="X87" t="str">
        <v>Normal Review</v>
      </c>
      <c r="Y87">
        <f>VLOOKUP($L87,Lookup_Table!$A$1:$D$4,4,FALSE)</f>
        <v>0.08</v>
      </c>
      <c r="Z87">
        <f t="shared" si="2"/>
        <v>38188.480000000003</v>
      </c>
      <c r="AA87" s="3">
        <f t="shared" si="3"/>
        <v>553333.48</v>
      </c>
      <c r="AB87">
        <f>VLOOKUP($L87,Lookup_Table!$A$2:$D$4,2,FALSE)</f>
        <v>320000</v>
      </c>
      <c r="AC87">
        <f>VLOOKUP($L87,Lookup_Table!$A$2:$D$4,3,FALSE)</f>
        <v>549999</v>
      </c>
      <c r="AD87">
        <f>VLOOKUP($L87,Lookup_Table!$A$2:$D$4,4)</f>
        <v>0.08</v>
      </c>
      <c r="AE87" t="str" cm="1">
        <f t="array" ref="AE87">IF(AA87:AA87,"Correct Band","Check Band")</f>
        <v>Correct Band</v>
      </c>
    </row>
    <row r="88" spans="1:31" x14ac:dyDescent="0.25">
      <c r="A88" t="s">
        <v>288</v>
      </c>
      <c r="B88" t="s">
        <v>159</v>
      </c>
      <c r="C88" t="s">
        <v>44</v>
      </c>
      <c r="D88" t="s">
        <v>289</v>
      </c>
      <c r="E88" t="s">
        <v>46</v>
      </c>
      <c r="F88" t="s">
        <v>175</v>
      </c>
      <c r="G88" t="s">
        <v>48</v>
      </c>
      <c r="H88" s="2">
        <v>44921</v>
      </c>
      <c r="I88" s="2">
        <v>36594</v>
      </c>
      <c r="J88" t="s">
        <v>27</v>
      </c>
      <c r="K88" t="s">
        <v>28</v>
      </c>
      <c r="L88" t="s">
        <v>50</v>
      </c>
      <c r="M88" s="3">
        <v>761537</v>
      </c>
      <c r="N88" s="3">
        <v>139885</v>
      </c>
      <c r="O88">
        <v>89</v>
      </c>
      <c r="P88">
        <v>113</v>
      </c>
      <c r="Q88">
        <v>79</v>
      </c>
      <c r="R88">
        <v>5</v>
      </c>
      <c r="S88" t="s">
        <v>59</v>
      </c>
      <c r="T88" t="s">
        <v>93</v>
      </c>
      <c r="U88" t="str">
        <v>Senior</v>
      </c>
      <c r="V88" t="str">
        <v>Below Target</v>
      </c>
      <c r="W88" t="str">
        <v>Normal</v>
      </c>
      <c r="X88" t="str">
        <v>Normal Review</v>
      </c>
      <c r="Y88">
        <f>VLOOKUP($L88,Lookup_Table!$A$1:$D$4,4,FALSE)</f>
        <v>0.12</v>
      </c>
      <c r="Z88">
        <f t="shared" si="2"/>
        <v>91384.44</v>
      </c>
      <c r="AA88" s="3">
        <f t="shared" si="3"/>
        <v>992806.44</v>
      </c>
      <c r="AB88">
        <f>VLOOKUP($L88,Lookup_Table!$A$2:$D$4,2,FALSE)</f>
        <v>550000</v>
      </c>
      <c r="AC88">
        <f>VLOOKUP($L88,Lookup_Table!$A$2:$D$4,3,FALSE)</f>
        <v>999999</v>
      </c>
      <c r="AD88">
        <f>VLOOKUP($L88,Lookup_Table!$A$2:$D$4,4)</f>
        <v>0.12</v>
      </c>
      <c r="AE88" t="str" cm="1">
        <f t="array" ref="AE88">IF(AA88:AA88,"Correct Band","Check Band")</f>
        <v>Correct Band</v>
      </c>
    </row>
    <row r="89" spans="1:31" x14ac:dyDescent="0.25">
      <c r="A89" t="s">
        <v>290</v>
      </c>
      <c r="B89" t="s">
        <v>163</v>
      </c>
      <c r="C89" t="s">
        <v>54</v>
      </c>
      <c r="D89" t="s">
        <v>291</v>
      </c>
      <c r="E89" t="s">
        <v>56</v>
      </c>
      <c r="F89" t="s">
        <v>102</v>
      </c>
      <c r="G89" t="s">
        <v>58</v>
      </c>
      <c r="H89" s="2">
        <v>44116</v>
      </c>
      <c r="I89" s="2">
        <v>34894</v>
      </c>
      <c r="J89" t="s">
        <v>27</v>
      </c>
      <c r="K89" t="s">
        <v>67</v>
      </c>
      <c r="L89" t="s">
        <v>29</v>
      </c>
      <c r="M89" s="3">
        <v>204705</v>
      </c>
      <c r="N89" s="3">
        <v>23692</v>
      </c>
      <c r="O89">
        <v>90</v>
      </c>
      <c r="P89">
        <v>113</v>
      </c>
      <c r="Q89">
        <v>82</v>
      </c>
      <c r="R89">
        <v>1</v>
      </c>
      <c r="S89" t="s">
        <v>103</v>
      </c>
      <c r="T89" t="s">
        <v>41</v>
      </c>
      <c r="U89" t="str">
        <v>Junior</v>
      </c>
      <c r="V89" t="str">
        <v>Below Target</v>
      </c>
      <c r="W89" t="str">
        <v>Normal</v>
      </c>
      <c r="X89" t="str">
        <v>Review For Reward</v>
      </c>
      <c r="Y89">
        <f>VLOOKUP($L89,Lookup_Table!$A$1:$D$4,4,FALSE)</f>
        <v>0.05</v>
      </c>
      <c r="Z89">
        <f t="shared" si="2"/>
        <v>10235.25</v>
      </c>
      <c r="AA89" s="3">
        <f t="shared" si="3"/>
        <v>238632.25</v>
      </c>
      <c r="AB89">
        <f>VLOOKUP($L89,Lookup_Table!$A$2:$D$4,2,FALSE)</f>
        <v>180000</v>
      </c>
      <c r="AC89">
        <f>VLOOKUP($L89,Lookup_Table!$A$2:$D$4,3,FALSE)</f>
        <v>319999</v>
      </c>
      <c r="AD89">
        <f>VLOOKUP($L89,Lookup_Table!$A$2:$D$4,4)</f>
        <v>0.05</v>
      </c>
      <c r="AE89" t="str" cm="1">
        <f t="array" ref="AE89">IF(AA89:AA89,"Correct Band","Check Band")</f>
        <v>Correct Band</v>
      </c>
    </row>
    <row r="90" spans="1:31" x14ac:dyDescent="0.25">
      <c r="A90" t="s">
        <v>292</v>
      </c>
      <c r="B90" t="s">
        <v>167</v>
      </c>
      <c r="C90" t="s">
        <v>62</v>
      </c>
      <c r="D90" t="s">
        <v>293</v>
      </c>
      <c r="E90" t="s">
        <v>64</v>
      </c>
      <c r="F90" t="s">
        <v>180</v>
      </c>
      <c r="G90" t="s">
        <v>66</v>
      </c>
      <c r="H90" s="2">
        <v>45062</v>
      </c>
      <c r="I90" s="2">
        <v>31522</v>
      </c>
      <c r="J90" t="s">
        <v>27</v>
      </c>
      <c r="K90" t="s">
        <v>28</v>
      </c>
      <c r="L90" t="s">
        <v>40</v>
      </c>
      <c r="M90" s="3">
        <v>421805</v>
      </c>
      <c r="N90" s="3">
        <v>98262</v>
      </c>
      <c r="O90">
        <v>52</v>
      </c>
      <c r="P90">
        <v>52</v>
      </c>
      <c r="Q90">
        <v>82</v>
      </c>
      <c r="R90">
        <v>2</v>
      </c>
      <c r="S90" t="s">
        <v>51</v>
      </c>
      <c r="T90" t="s">
        <v>93</v>
      </c>
      <c r="U90" t="str">
        <v>Mid_Level</v>
      </c>
      <c r="V90" t="str">
        <v>Met Target</v>
      </c>
      <c r="W90" t="str">
        <v>Normal</v>
      </c>
      <c r="X90" t="str">
        <v>Normal Review</v>
      </c>
      <c r="Y90">
        <f>VLOOKUP($L90,Lookup_Table!$A$1:$D$4,4,FALSE)</f>
        <v>0.08</v>
      </c>
      <c r="Z90">
        <f t="shared" si="2"/>
        <v>33744.400000000001</v>
      </c>
      <c r="AA90" s="3">
        <f t="shared" si="3"/>
        <v>553811.4</v>
      </c>
      <c r="AB90">
        <f>VLOOKUP($L90,Lookup_Table!$A$2:$D$4,2,FALSE)</f>
        <v>320000</v>
      </c>
      <c r="AC90">
        <f>VLOOKUP($L90,Lookup_Table!$A$2:$D$4,3,FALSE)</f>
        <v>549999</v>
      </c>
      <c r="AD90">
        <f>VLOOKUP($L90,Lookup_Table!$A$2:$D$4,4)</f>
        <v>0.08</v>
      </c>
      <c r="AE90" t="str" cm="1">
        <f t="array" ref="AE90">IF(AA90:AA90,"Correct Band","Check Band")</f>
        <v>Correct Band</v>
      </c>
    </row>
    <row r="91" spans="1:31" x14ac:dyDescent="0.25">
      <c r="A91" t="s">
        <v>294</v>
      </c>
      <c r="B91" t="s">
        <v>171</v>
      </c>
      <c r="C91" t="s">
        <v>71</v>
      </c>
      <c r="D91" t="s">
        <v>295</v>
      </c>
      <c r="E91" t="s">
        <v>73</v>
      </c>
      <c r="F91" t="s">
        <v>161</v>
      </c>
      <c r="G91" t="s">
        <v>75</v>
      </c>
      <c r="H91" s="2">
        <v>46154</v>
      </c>
      <c r="I91" s="2">
        <v>42218</v>
      </c>
      <c r="J91" t="s">
        <v>27</v>
      </c>
      <c r="K91" t="s">
        <v>28</v>
      </c>
      <c r="L91" t="s">
        <v>50</v>
      </c>
      <c r="M91" s="3">
        <v>754008</v>
      </c>
      <c r="N91" s="3">
        <v>100281</v>
      </c>
      <c r="O91">
        <v>100</v>
      </c>
      <c r="P91">
        <v>91</v>
      </c>
      <c r="Q91">
        <v>94</v>
      </c>
      <c r="R91">
        <v>10</v>
      </c>
      <c r="S91" t="s">
        <v>51</v>
      </c>
      <c r="T91" t="s">
        <v>41</v>
      </c>
      <c r="U91" t="str">
        <v>Senior</v>
      </c>
      <c r="V91" t="str">
        <v>Met Target</v>
      </c>
      <c r="W91" t="str">
        <v>High Absence</v>
      </c>
      <c r="X91" t="str">
        <v>Normal Review</v>
      </c>
      <c r="Y91">
        <f>VLOOKUP($L91,Lookup_Table!$A$1:$D$4,4,FALSE)</f>
        <v>0.12</v>
      </c>
      <c r="Z91">
        <f t="shared" si="2"/>
        <v>90480.959999999992</v>
      </c>
      <c r="AA91" s="3">
        <f t="shared" si="3"/>
        <v>944769.96</v>
      </c>
      <c r="AB91">
        <f>VLOOKUP($L91,Lookup_Table!$A$2:$D$4,2,FALSE)</f>
        <v>550000</v>
      </c>
      <c r="AC91">
        <f>VLOOKUP($L91,Lookup_Table!$A$2:$D$4,3,FALSE)</f>
        <v>999999</v>
      </c>
      <c r="AD91">
        <f>VLOOKUP($L91,Lookup_Table!$A$2:$D$4,4)</f>
        <v>0.12</v>
      </c>
      <c r="AE91" t="str" cm="1">
        <f t="array" ref="AE91">IF(AA91:AA91,"Correct Band","Check Band")</f>
        <v>Correct Band</v>
      </c>
    </row>
    <row r="92" spans="1:31" x14ac:dyDescent="0.25">
      <c r="A92" t="s">
        <v>296</v>
      </c>
      <c r="B92" t="s">
        <v>21</v>
      </c>
      <c r="C92" t="s">
        <v>78</v>
      </c>
      <c r="D92" t="s">
        <v>297</v>
      </c>
      <c r="E92" t="s">
        <v>80</v>
      </c>
      <c r="F92" t="s">
        <v>117</v>
      </c>
      <c r="G92" t="s">
        <v>82</v>
      </c>
      <c r="H92" s="2">
        <v>44422</v>
      </c>
      <c r="I92" s="2">
        <v>34852</v>
      </c>
      <c r="J92" t="s">
        <v>49</v>
      </c>
      <c r="K92" t="s">
        <v>28</v>
      </c>
      <c r="L92" t="s">
        <v>29</v>
      </c>
      <c r="M92" s="3">
        <v>276435</v>
      </c>
      <c r="N92" s="3">
        <v>2463</v>
      </c>
      <c r="O92">
        <v>79</v>
      </c>
      <c r="P92">
        <v>99</v>
      </c>
      <c r="Q92">
        <v>84</v>
      </c>
      <c r="R92">
        <v>4</v>
      </c>
      <c r="S92" t="s">
        <v>30</v>
      </c>
      <c r="T92" t="s">
        <v>83</v>
      </c>
      <c r="U92" t="str">
        <v>Junior</v>
      </c>
      <c r="V92" t="str">
        <v>Below Target</v>
      </c>
      <c r="W92" t="str">
        <v>Normal</v>
      </c>
      <c r="X92" t="str">
        <v>Normal Review</v>
      </c>
      <c r="Y92">
        <f>VLOOKUP($L92,Lookup_Table!$A$1:$D$4,4,FALSE)</f>
        <v>0.05</v>
      </c>
      <c r="Z92">
        <f t="shared" si="2"/>
        <v>13821.75</v>
      </c>
      <c r="AA92" s="3">
        <f t="shared" si="3"/>
        <v>292719.75</v>
      </c>
      <c r="AB92">
        <f>VLOOKUP($L92,Lookup_Table!$A$2:$D$4,2,FALSE)</f>
        <v>180000</v>
      </c>
      <c r="AC92">
        <f>VLOOKUP($L92,Lookup_Table!$A$2:$D$4,3,FALSE)</f>
        <v>319999</v>
      </c>
      <c r="AD92">
        <f>VLOOKUP($L92,Lookup_Table!$A$2:$D$4,4)</f>
        <v>0.05</v>
      </c>
      <c r="AE92" t="str" cm="1">
        <f t="array" ref="AE92">IF(AA92:AA92,"Correct Band","Check Band")</f>
        <v>Correct Band</v>
      </c>
    </row>
    <row r="93" spans="1:31" x14ac:dyDescent="0.25">
      <c r="A93" t="s">
        <v>298</v>
      </c>
      <c r="B93" t="s">
        <v>33</v>
      </c>
      <c r="C93" t="s">
        <v>86</v>
      </c>
      <c r="D93" t="s">
        <v>299</v>
      </c>
      <c r="E93" t="s">
        <v>24</v>
      </c>
      <c r="F93" t="s">
        <v>169</v>
      </c>
      <c r="G93" t="s">
        <v>26</v>
      </c>
      <c r="H93" s="2">
        <v>45645</v>
      </c>
      <c r="I93" s="2">
        <v>36709</v>
      </c>
      <c r="J93" t="s">
        <v>49</v>
      </c>
      <c r="K93" t="s">
        <v>67</v>
      </c>
      <c r="L93" t="s">
        <v>40</v>
      </c>
      <c r="M93" s="3">
        <v>409681</v>
      </c>
      <c r="N93" s="3">
        <v>65561</v>
      </c>
      <c r="O93">
        <v>87</v>
      </c>
      <c r="P93">
        <v>86</v>
      </c>
      <c r="Q93">
        <v>84</v>
      </c>
      <c r="R93">
        <v>4</v>
      </c>
      <c r="S93" t="s">
        <v>51</v>
      </c>
      <c r="T93" t="s">
        <v>41</v>
      </c>
      <c r="U93" t="str">
        <v>Mid_Level</v>
      </c>
      <c r="V93" t="str">
        <v>Met Target</v>
      </c>
      <c r="W93" t="str">
        <v>Normal</v>
      </c>
      <c r="X93" t="str">
        <v>Normal Review</v>
      </c>
      <c r="Y93">
        <f>VLOOKUP($L93,Lookup_Table!$A$1:$D$4,4,FALSE)</f>
        <v>0.08</v>
      </c>
      <c r="Z93">
        <f t="shared" si="2"/>
        <v>32774.480000000003</v>
      </c>
      <c r="AA93" s="3">
        <f t="shared" si="3"/>
        <v>508016.48</v>
      </c>
      <c r="AB93">
        <f>VLOOKUP($L93,Lookup_Table!$A$2:$D$4,2,FALSE)</f>
        <v>320000</v>
      </c>
      <c r="AC93">
        <f>VLOOKUP($L93,Lookup_Table!$A$2:$D$4,3,FALSE)</f>
        <v>549999</v>
      </c>
      <c r="AD93">
        <f>VLOOKUP($L93,Lookup_Table!$A$2:$D$4,4)</f>
        <v>0.08</v>
      </c>
      <c r="AE93" t="str" cm="1">
        <f t="array" ref="AE93">IF(AA93:AA93,"Correct Band","Check Band")</f>
        <v>Correct Band</v>
      </c>
    </row>
    <row r="94" spans="1:31" x14ac:dyDescent="0.25">
      <c r="A94" t="s">
        <v>300</v>
      </c>
      <c r="B94" t="s">
        <v>43</v>
      </c>
      <c r="C94" t="s">
        <v>91</v>
      </c>
      <c r="D94" t="s">
        <v>301</v>
      </c>
      <c r="E94" t="s">
        <v>36</v>
      </c>
      <c r="F94" t="s">
        <v>148</v>
      </c>
      <c r="G94" t="s">
        <v>38</v>
      </c>
      <c r="H94" s="2">
        <v>44272</v>
      </c>
      <c r="I94" s="2">
        <v>34934</v>
      </c>
      <c r="J94" t="s">
        <v>27</v>
      </c>
      <c r="K94" t="s">
        <v>67</v>
      </c>
      <c r="L94" t="s">
        <v>50</v>
      </c>
      <c r="M94" s="3">
        <v>763335</v>
      </c>
      <c r="N94" s="3">
        <v>77392</v>
      </c>
      <c r="O94">
        <v>74</v>
      </c>
      <c r="P94">
        <v>90</v>
      </c>
      <c r="Q94">
        <v>56</v>
      </c>
      <c r="R94">
        <v>10</v>
      </c>
      <c r="S94" t="s">
        <v>59</v>
      </c>
      <c r="T94" t="s">
        <v>68</v>
      </c>
      <c r="U94" t="str">
        <v>Senior</v>
      </c>
      <c r="V94" t="str">
        <v>Below Target</v>
      </c>
      <c r="W94" t="str">
        <v>High Absence</v>
      </c>
      <c r="X94" t="str">
        <v>Normal Review</v>
      </c>
      <c r="Y94">
        <f>VLOOKUP($L94,Lookup_Table!$A$1:$D$4,4,FALSE)</f>
        <v>0.12</v>
      </c>
      <c r="Z94">
        <f t="shared" si="2"/>
        <v>91600.2</v>
      </c>
      <c r="AA94" s="3">
        <f t="shared" si="3"/>
        <v>932327.2</v>
      </c>
      <c r="AB94">
        <f>VLOOKUP($L94,Lookup_Table!$A$2:$D$4,2,FALSE)</f>
        <v>550000</v>
      </c>
      <c r="AC94">
        <f>VLOOKUP($L94,Lookup_Table!$A$2:$D$4,3,FALSE)</f>
        <v>999999</v>
      </c>
      <c r="AD94">
        <f>VLOOKUP($L94,Lookup_Table!$A$2:$D$4,4)</f>
        <v>0.12</v>
      </c>
      <c r="AE94" t="str" cm="1">
        <f t="array" ref="AE94">IF(AA94:AA94,"Correct Band","Check Band")</f>
        <v>Correct Band</v>
      </c>
    </row>
    <row r="95" spans="1:31" x14ac:dyDescent="0.25">
      <c r="A95" t="s">
        <v>302</v>
      </c>
      <c r="B95" t="s">
        <v>53</v>
      </c>
      <c r="C95" t="s">
        <v>96</v>
      </c>
      <c r="D95" t="s">
        <v>303</v>
      </c>
      <c r="E95" t="s">
        <v>46</v>
      </c>
      <c r="F95" t="s">
        <v>127</v>
      </c>
      <c r="G95" t="s">
        <v>48</v>
      </c>
      <c r="H95" s="2">
        <v>46154</v>
      </c>
      <c r="I95" s="2">
        <v>42284</v>
      </c>
      <c r="J95" t="s">
        <v>49</v>
      </c>
      <c r="K95" t="s">
        <v>28</v>
      </c>
      <c r="L95" t="s">
        <v>29</v>
      </c>
      <c r="M95" s="3">
        <v>201061</v>
      </c>
      <c r="N95" s="3">
        <v>60324</v>
      </c>
      <c r="O95">
        <v>99</v>
      </c>
      <c r="P95">
        <v>82</v>
      </c>
      <c r="Q95">
        <v>93</v>
      </c>
      <c r="R95">
        <v>12</v>
      </c>
      <c r="S95" t="s">
        <v>51</v>
      </c>
      <c r="T95" t="s">
        <v>83</v>
      </c>
      <c r="U95" t="str">
        <v>Junior</v>
      </c>
      <c r="V95" t="str">
        <v>Met Target</v>
      </c>
      <c r="W95" t="str">
        <v>High Absence</v>
      </c>
      <c r="X95" t="str">
        <v>Normal Review</v>
      </c>
      <c r="Y95">
        <f>VLOOKUP($L95,Lookup_Table!$A$1:$D$4,4,FALSE)</f>
        <v>0.05</v>
      </c>
      <c r="Z95">
        <f t="shared" si="2"/>
        <v>10053.050000000001</v>
      </c>
      <c r="AA95" s="3">
        <f t="shared" si="3"/>
        <v>271438.05</v>
      </c>
      <c r="AB95">
        <f>VLOOKUP($L95,Lookup_Table!$A$2:$D$4,2,FALSE)</f>
        <v>180000</v>
      </c>
      <c r="AC95">
        <f>VLOOKUP($L95,Lookup_Table!$A$2:$D$4,3,FALSE)</f>
        <v>319999</v>
      </c>
      <c r="AD95">
        <f>VLOOKUP($L95,Lookup_Table!$A$2:$D$4,4)</f>
        <v>0.05</v>
      </c>
      <c r="AE95" t="str" cm="1">
        <f t="array" ref="AE95">IF(AA95:AA95,"Correct Band","Check Band")</f>
        <v>Correct Band</v>
      </c>
    </row>
    <row r="96" spans="1:31" x14ac:dyDescent="0.25">
      <c r="A96" t="s">
        <v>304</v>
      </c>
      <c r="B96" t="s">
        <v>61</v>
      </c>
      <c r="C96" t="s">
        <v>100</v>
      </c>
      <c r="D96" t="s">
        <v>305</v>
      </c>
      <c r="E96" t="s">
        <v>56</v>
      </c>
      <c r="F96" t="s">
        <v>57</v>
      </c>
      <c r="G96" t="s">
        <v>58</v>
      </c>
      <c r="H96" s="2">
        <v>44614</v>
      </c>
      <c r="I96" s="2">
        <v>41220</v>
      </c>
      <c r="J96" t="s">
        <v>27</v>
      </c>
      <c r="K96" t="s">
        <v>67</v>
      </c>
      <c r="L96" t="s">
        <v>40</v>
      </c>
      <c r="M96" s="3">
        <v>483442</v>
      </c>
      <c r="N96" s="3">
        <v>25470</v>
      </c>
      <c r="O96">
        <v>66</v>
      </c>
      <c r="P96">
        <v>89</v>
      </c>
      <c r="Q96">
        <v>95</v>
      </c>
      <c r="R96">
        <v>10</v>
      </c>
      <c r="S96" t="s">
        <v>103</v>
      </c>
      <c r="T96" t="s">
        <v>68</v>
      </c>
      <c r="U96" t="str">
        <v>Mid_Level</v>
      </c>
      <c r="V96" t="str">
        <v>Below Target</v>
      </c>
      <c r="W96" t="str">
        <v>High Absence</v>
      </c>
      <c r="X96" t="str">
        <v>Review For Reward</v>
      </c>
      <c r="Y96">
        <f>VLOOKUP($L96,Lookup_Table!$A$1:$D$4,4,FALSE)</f>
        <v>0.08</v>
      </c>
      <c r="Z96">
        <f t="shared" si="2"/>
        <v>38675.360000000001</v>
      </c>
      <c r="AA96" s="3">
        <f t="shared" si="3"/>
        <v>547587.36</v>
      </c>
      <c r="AB96">
        <f>VLOOKUP($L96,Lookup_Table!$A$2:$D$4,2,FALSE)</f>
        <v>320000</v>
      </c>
      <c r="AC96">
        <f>VLOOKUP($L96,Lookup_Table!$A$2:$D$4,3,FALSE)</f>
        <v>549999</v>
      </c>
      <c r="AD96">
        <f>VLOOKUP($L96,Lookup_Table!$A$2:$D$4,4)</f>
        <v>0.08</v>
      </c>
      <c r="AE96" t="str" cm="1">
        <f t="array" ref="AE96">IF(AA96:AA96,"Correct Band","Check Band")</f>
        <v>Correct Band</v>
      </c>
    </row>
    <row r="97" spans="1:31" x14ac:dyDescent="0.25">
      <c r="A97" t="s">
        <v>306</v>
      </c>
      <c r="B97" t="s">
        <v>70</v>
      </c>
      <c r="C97" t="s">
        <v>106</v>
      </c>
      <c r="D97" t="s">
        <v>307</v>
      </c>
      <c r="E97" t="s">
        <v>64</v>
      </c>
      <c r="F97" t="s">
        <v>180</v>
      </c>
      <c r="G97" t="s">
        <v>66</v>
      </c>
      <c r="H97" s="2">
        <v>43972</v>
      </c>
      <c r="I97" s="2">
        <v>40543</v>
      </c>
      <c r="J97" t="s">
        <v>27</v>
      </c>
      <c r="K97" t="s">
        <v>28</v>
      </c>
      <c r="L97" t="s">
        <v>50</v>
      </c>
      <c r="M97" s="3">
        <v>757779</v>
      </c>
      <c r="N97" s="3">
        <v>108921</v>
      </c>
      <c r="O97">
        <v>73</v>
      </c>
      <c r="P97">
        <v>61</v>
      </c>
      <c r="Q97">
        <v>66</v>
      </c>
      <c r="R97">
        <v>3</v>
      </c>
      <c r="S97" t="s">
        <v>51</v>
      </c>
      <c r="T97" t="s">
        <v>93</v>
      </c>
      <c r="U97" t="str">
        <v>Senior</v>
      </c>
      <c r="V97" t="str">
        <v>Met Target</v>
      </c>
      <c r="W97" t="str">
        <v>Normal</v>
      </c>
      <c r="X97" t="str">
        <v>Normal Review</v>
      </c>
      <c r="Y97">
        <f>VLOOKUP($L97,Lookup_Table!$A$1:$D$4,4,FALSE)</f>
        <v>0.12</v>
      </c>
      <c r="Z97">
        <f t="shared" si="2"/>
        <v>90933.48</v>
      </c>
      <c r="AA97" s="3">
        <f t="shared" si="3"/>
        <v>957633.48</v>
      </c>
      <c r="AB97">
        <f>VLOOKUP($L97,Lookup_Table!$A$2:$D$4,2,FALSE)</f>
        <v>550000</v>
      </c>
      <c r="AC97">
        <f>VLOOKUP($L97,Lookup_Table!$A$2:$D$4,3,FALSE)</f>
        <v>999999</v>
      </c>
      <c r="AD97">
        <f>VLOOKUP($L97,Lookup_Table!$A$2:$D$4,4)</f>
        <v>0.12</v>
      </c>
      <c r="AE97" t="str" cm="1">
        <f t="array" ref="AE97">IF(AA97:AA97,"Correct Band","Check Band")</f>
        <v>Correct Band</v>
      </c>
    </row>
    <row r="98" spans="1:31" x14ac:dyDescent="0.25">
      <c r="A98" t="s">
        <v>308</v>
      </c>
      <c r="B98" t="s">
        <v>77</v>
      </c>
      <c r="C98" t="s">
        <v>111</v>
      </c>
      <c r="D98" t="s">
        <v>309</v>
      </c>
      <c r="E98" t="s">
        <v>73</v>
      </c>
      <c r="F98" t="s">
        <v>74</v>
      </c>
      <c r="G98" t="s">
        <v>75</v>
      </c>
      <c r="H98" s="2">
        <v>46010</v>
      </c>
      <c r="I98" s="2">
        <v>39269</v>
      </c>
      <c r="J98" t="s">
        <v>49</v>
      </c>
      <c r="K98" t="s">
        <v>28</v>
      </c>
      <c r="L98" t="s">
        <v>29</v>
      </c>
      <c r="M98" s="3">
        <v>247953</v>
      </c>
      <c r="N98" s="3">
        <v>88792</v>
      </c>
      <c r="O98">
        <v>67</v>
      </c>
      <c r="P98">
        <v>57</v>
      </c>
      <c r="Q98">
        <v>62</v>
      </c>
      <c r="R98">
        <v>7</v>
      </c>
      <c r="S98" t="s">
        <v>103</v>
      </c>
      <c r="T98" t="s">
        <v>83</v>
      </c>
      <c r="U98" t="str">
        <v>Junior</v>
      </c>
      <c r="V98" t="str">
        <v>Met Target</v>
      </c>
      <c r="W98" t="str">
        <v>Normal</v>
      </c>
      <c r="X98" t="str">
        <v>Review For Reward</v>
      </c>
      <c r="Y98">
        <f>VLOOKUP($L98,Lookup_Table!$A$1:$D$4,4,FALSE)</f>
        <v>0.05</v>
      </c>
      <c r="Z98">
        <f t="shared" si="2"/>
        <v>12397.650000000001</v>
      </c>
      <c r="AA98" s="3">
        <f t="shared" si="3"/>
        <v>349142.65</v>
      </c>
      <c r="AB98">
        <f>VLOOKUP($L98,Lookup_Table!$A$2:$D$4,2,FALSE)</f>
        <v>180000</v>
      </c>
      <c r="AC98">
        <f>VLOOKUP($L98,Lookup_Table!$A$2:$D$4,3,FALSE)</f>
        <v>319999</v>
      </c>
      <c r="AD98">
        <f>VLOOKUP($L98,Lookup_Table!$A$2:$D$4,4)</f>
        <v>0.05</v>
      </c>
      <c r="AE98" t="str" cm="1">
        <f t="array" ref="AE98">IF(AA98:AA98,"Correct Band","Check Band")</f>
        <v>Correct Band</v>
      </c>
    </row>
    <row r="99" spans="1:31" x14ac:dyDescent="0.25">
      <c r="A99" t="s">
        <v>310</v>
      </c>
      <c r="B99" t="s">
        <v>85</v>
      </c>
      <c r="C99" t="s">
        <v>115</v>
      </c>
      <c r="D99" t="s">
        <v>311</v>
      </c>
      <c r="E99" t="s">
        <v>80</v>
      </c>
      <c r="F99" t="s">
        <v>117</v>
      </c>
      <c r="G99" t="s">
        <v>82</v>
      </c>
      <c r="H99" s="2">
        <v>44760</v>
      </c>
      <c r="I99" s="2">
        <v>42128</v>
      </c>
      <c r="J99" t="s">
        <v>27</v>
      </c>
      <c r="K99" t="s">
        <v>28</v>
      </c>
      <c r="L99" t="s">
        <v>40</v>
      </c>
      <c r="M99" s="3">
        <v>498848</v>
      </c>
      <c r="N99" s="3">
        <v>103435</v>
      </c>
      <c r="O99">
        <v>96</v>
      </c>
      <c r="P99">
        <v>119</v>
      </c>
      <c r="Q99">
        <v>55</v>
      </c>
      <c r="R99">
        <v>4</v>
      </c>
      <c r="S99" t="s">
        <v>30</v>
      </c>
      <c r="T99" t="s">
        <v>31</v>
      </c>
      <c r="U99" t="str">
        <v>Mid_Level</v>
      </c>
      <c r="V99" t="str">
        <v>Below Target</v>
      </c>
      <c r="W99" t="str">
        <v>Normal</v>
      </c>
      <c r="X99" t="str">
        <v>Normal Review</v>
      </c>
      <c r="Y99">
        <f>VLOOKUP($L99,Lookup_Table!$A$1:$D$4,4,FALSE)</f>
        <v>0.08</v>
      </c>
      <c r="Z99">
        <f t="shared" si="2"/>
        <v>39907.840000000004</v>
      </c>
      <c r="AA99" s="3">
        <f t="shared" si="3"/>
        <v>642190.84</v>
      </c>
      <c r="AB99">
        <f>VLOOKUP($L99,Lookup_Table!$A$2:$D$4,2,FALSE)</f>
        <v>320000</v>
      </c>
      <c r="AC99">
        <f>VLOOKUP($L99,Lookup_Table!$A$2:$D$4,3,FALSE)</f>
        <v>549999</v>
      </c>
      <c r="AD99">
        <f>VLOOKUP($L99,Lookup_Table!$A$2:$D$4,4)</f>
        <v>0.08</v>
      </c>
      <c r="AE99" t="str" cm="1">
        <f t="array" ref="AE99">IF(AA99:AA99,"Correct Band","Check Band")</f>
        <v>Correct Band</v>
      </c>
    </row>
    <row r="100" spans="1:31" x14ac:dyDescent="0.25">
      <c r="A100" t="s">
        <v>312</v>
      </c>
      <c r="B100" t="s">
        <v>90</v>
      </c>
      <c r="C100" t="s">
        <v>22</v>
      </c>
      <c r="D100" t="s">
        <v>313</v>
      </c>
      <c r="E100" t="s">
        <v>24</v>
      </c>
      <c r="F100" t="s">
        <v>88</v>
      </c>
      <c r="G100" t="s">
        <v>26</v>
      </c>
      <c r="H100" s="2">
        <v>45345</v>
      </c>
      <c r="I100" s="2">
        <v>42071</v>
      </c>
      <c r="J100" t="s">
        <v>49</v>
      </c>
      <c r="K100" t="s">
        <v>67</v>
      </c>
      <c r="L100" t="s">
        <v>50</v>
      </c>
      <c r="M100" s="3">
        <v>759609</v>
      </c>
      <c r="N100" s="3">
        <v>97379</v>
      </c>
      <c r="O100">
        <v>97</v>
      </c>
      <c r="P100">
        <v>120</v>
      </c>
      <c r="Q100">
        <v>61</v>
      </c>
      <c r="R100">
        <v>10</v>
      </c>
      <c r="S100" t="s">
        <v>51</v>
      </c>
      <c r="T100" t="s">
        <v>41</v>
      </c>
      <c r="U100" t="str">
        <v>Senior</v>
      </c>
      <c r="V100" t="str">
        <v>Below Target</v>
      </c>
      <c r="W100" t="str">
        <v>High Absence</v>
      </c>
      <c r="X100" t="str">
        <v>Normal Review</v>
      </c>
      <c r="Y100">
        <f>VLOOKUP($L100,Lookup_Table!$A$1:$D$4,4,FALSE)</f>
        <v>0.12</v>
      </c>
      <c r="Z100">
        <f t="shared" si="2"/>
        <v>91153.08</v>
      </c>
      <c r="AA100" s="3">
        <f t="shared" si="3"/>
        <v>948141.08</v>
      </c>
      <c r="AB100">
        <f>VLOOKUP($L100,Lookup_Table!$A$2:$D$4,2,FALSE)</f>
        <v>550000</v>
      </c>
      <c r="AC100">
        <f>VLOOKUP($L100,Lookup_Table!$A$2:$D$4,3,FALSE)</f>
        <v>999999</v>
      </c>
      <c r="AD100">
        <f>VLOOKUP($L100,Lookup_Table!$A$2:$D$4,4)</f>
        <v>0.12</v>
      </c>
      <c r="AE100" t="str" cm="1">
        <f t="array" ref="AE100">IF(AA100:AA100,"Correct Band","Check Band")</f>
        <v>Correct Band</v>
      </c>
    </row>
    <row r="101" spans="1:31" x14ac:dyDescent="0.25">
      <c r="A101" t="s">
        <v>314</v>
      </c>
      <c r="B101" t="s">
        <v>95</v>
      </c>
      <c r="C101" t="s">
        <v>34</v>
      </c>
      <c r="D101" t="s">
        <v>315</v>
      </c>
      <c r="E101" t="s">
        <v>36</v>
      </c>
      <c r="F101" t="s">
        <v>259</v>
      </c>
      <c r="G101" t="s">
        <v>38</v>
      </c>
      <c r="H101" s="2">
        <v>46135</v>
      </c>
      <c r="I101" s="2">
        <v>36422</v>
      </c>
      <c r="J101" t="s">
        <v>27</v>
      </c>
      <c r="K101" t="s">
        <v>67</v>
      </c>
      <c r="L101" t="s">
        <v>29</v>
      </c>
      <c r="M101" s="3">
        <v>203280</v>
      </c>
      <c r="N101" s="3">
        <v>121704</v>
      </c>
      <c r="O101">
        <v>89</v>
      </c>
      <c r="P101">
        <v>83</v>
      </c>
      <c r="Q101">
        <v>74</v>
      </c>
      <c r="R101">
        <v>10</v>
      </c>
      <c r="S101" t="s">
        <v>59</v>
      </c>
      <c r="T101" t="s">
        <v>31</v>
      </c>
      <c r="U101" t="str">
        <v>Junior</v>
      </c>
      <c r="V101" t="str">
        <v>Met Target</v>
      </c>
      <c r="W101" t="str">
        <v>High Absence</v>
      </c>
      <c r="X101" t="str">
        <v>Normal Review</v>
      </c>
      <c r="Y101">
        <f>VLOOKUP($L101,Lookup_Table!$A$1:$D$4,4,FALSE)</f>
        <v>0.05</v>
      </c>
      <c r="Z101">
        <f t="shared" si="2"/>
        <v>10164</v>
      </c>
      <c r="AA101" s="3">
        <f t="shared" si="3"/>
        <v>335148</v>
      </c>
      <c r="AB101">
        <f>VLOOKUP($L101,Lookup_Table!$A$2:$D$4,2,FALSE)</f>
        <v>180000</v>
      </c>
      <c r="AC101">
        <f>VLOOKUP($L101,Lookup_Table!$A$2:$D$4,3,FALSE)</f>
        <v>319999</v>
      </c>
      <c r="AD101">
        <f>VLOOKUP($L101,Lookup_Table!$A$2:$D$4,4)</f>
        <v>0.05</v>
      </c>
      <c r="AE101" t="str" cm="1">
        <f t="array" ref="AE101">IF(AA101:AA101,"Correct Band","Check Band")</f>
        <v>Correct Band</v>
      </c>
    </row>
    <row r="105" spans="1:31" x14ac:dyDescent="0.25">
      <c r="I105" t="s">
        <v>319</v>
      </c>
      <c r="P105" t="s">
        <v>320</v>
      </c>
      <c r="Q105" t="s">
        <v>321</v>
      </c>
    </row>
    <row r="106" spans="1:31" x14ac:dyDescent="0.25">
      <c r="B106" t="str">
        <f>_xlfn.CONCAT(B2,"  ",C2)</f>
        <v>Aisha  Okafor</v>
      </c>
      <c r="C106" t="str">
        <f>LOWER(D2)</f>
        <v>aisha.okafor@northstar-group.com</v>
      </c>
      <c r="D106" t="str">
        <f t="shared" ref="D106:D137" si="4">_xlfn.CONCAT(A2,"  ",B106)</f>
        <v>EMP001  Aisha  Okafor</v>
      </c>
      <c r="E106" t="str">
        <f t="shared" ref="E106:E137" si="5">PROPER(B106)</f>
        <v>Aisha  Okafor</v>
      </c>
      <c r="F106" t="str">
        <f t="shared" ref="F106:F137" si="6">LEFT(A2,3)</f>
        <v>EMP</v>
      </c>
      <c r="G106" t="str">
        <f t="shared" ref="G106:G137" si="7">RIGHT(A2,3)</f>
        <v>001</v>
      </c>
      <c r="H106">
        <f>LEN(E106)</f>
        <v>13</v>
      </c>
      <c r="J106">
        <f t="shared" ref="J106:J137" si="8">YEAR(H2)</f>
        <v>2021</v>
      </c>
      <c r="K106">
        <f t="shared" ref="K106:K137" si="9">MONTH(H2)</f>
        <v>4</v>
      </c>
      <c r="L106" t="str">
        <f t="shared" ref="L106:L137" si="10">TEXT(H2,"MMMM")</f>
        <v>April</v>
      </c>
      <c r="M106" t="str">
        <f t="shared" ref="M106:M137" si="11">TEXT(H2,"DDDD")</f>
        <v>Tuesday</v>
      </c>
      <c r="N106">
        <f t="shared" ref="N106:N137" ca="1" si="12">DATEDIF(I2,TODAY(),"Y")</f>
        <v>40</v>
      </c>
      <c r="O106">
        <f t="shared" ref="O106:O137" ca="1" si="13">DATEDIF(H2,TODAY(),"Y")</f>
        <v>5</v>
      </c>
      <c r="P106" t="s">
        <v>338</v>
      </c>
      <c r="Q106">
        <f>COUNTIF(H2:H101,P106)</f>
        <v>0</v>
      </c>
    </row>
    <row r="107" spans="1:31" x14ac:dyDescent="0.25">
      <c r="B107" t="str">
        <f t="shared" ref="B107:B170" si="14">_xlfn.CONCAT(B3,"  ",C3)</f>
        <v>Daniel  Mensah</v>
      </c>
      <c r="C107" t="str">
        <f t="shared" ref="C107:C170" si="15">LOWER(D3)</f>
        <v>daniel.mensah@northstar-group.com</v>
      </c>
      <c r="D107" t="str">
        <f t="shared" si="4"/>
        <v>EMP002  Daniel  Mensah</v>
      </c>
      <c r="E107" t="str">
        <f t="shared" si="5"/>
        <v>Daniel  Mensah</v>
      </c>
      <c r="F107" t="str">
        <f t="shared" si="6"/>
        <v>EMP</v>
      </c>
      <c r="G107" t="str">
        <f t="shared" si="7"/>
        <v>002</v>
      </c>
      <c r="H107">
        <f t="shared" ref="H107:H170" si="16">LEN(E107)</f>
        <v>14</v>
      </c>
      <c r="J107">
        <f t="shared" si="8"/>
        <v>2024</v>
      </c>
      <c r="K107">
        <f t="shared" si="9"/>
        <v>9</v>
      </c>
      <c r="L107" t="str">
        <f t="shared" si="10"/>
        <v>September</v>
      </c>
      <c r="M107" t="str">
        <f t="shared" si="11"/>
        <v>Sunday</v>
      </c>
      <c r="N107">
        <f t="shared" ca="1" si="12"/>
        <v>40</v>
      </c>
      <c r="O107">
        <f t="shared" ca="1" si="13"/>
        <v>1</v>
      </c>
      <c r="P107">
        <v>2021</v>
      </c>
    </row>
    <row r="108" spans="1:31" x14ac:dyDescent="0.25">
      <c r="B108" t="str">
        <f t="shared" si="14"/>
        <v>Grace  Adeyemi</v>
      </c>
      <c r="C108" t="str">
        <f t="shared" si="15"/>
        <v>grace.adeyemi@northstar-group.com</v>
      </c>
      <c r="D108" t="str">
        <f t="shared" si="4"/>
        <v>EMP003  Grace  Adeyemi</v>
      </c>
      <c r="E108" t="str">
        <f t="shared" si="5"/>
        <v>Grace  Adeyemi</v>
      </c>
      <c r="F108" t="str">
        <f t="shared" si="6"/>
        <v>EMP</v>
      </c>
      <c r="G108" t="str">
        <f t="shared" si="7"/>
        <v>003</v>
      </c>
      <c r="H108">
        <f t="shared" si="16"/>
        <v>14</v>
      </c>
      <c r="J108">
        <f t="shared" si="8"/>
        <v>2025</v>
      </c>
      <c r="K108">
        <f t="shared" si="9"/>
        <v>1</v>
      </c>
      <c r="L108" t="str">
        <f t="shared" si="10"/>
        <v>January</v>
      </c>
      <c r="M108" t="str">
        <f t="shared" si="11"/>
        <v>Saturday</v>
      </c>
      <c r="N108">
        <f t="shared" ca="1" si="12"/>
        <v>15</v>
      </c>
      <c r="O108">
        <f t="shared" ca="1" si="13"/>
        <v>1</v>
      </c>
      <c r="P108">
        <v>2022</v>
      </c>
    </row>
    <row r="109" spans="1:31" x14ac:dyDescent="0.25">
      <c r="B109" t="str">
        <f t="shared" si="14"/>
        <v>Michael  Bello</v>
      </c>
      <c r="C109" t="str">
        <f t="shared" si="15"/>
        <v>michael.bello@northstar-group.com</v>
      </c>
      <c r="D109" t="str">
        <f t="shared" si="4"/>
        <v>EMP004  Michael  Bello</v>
      </c>
      <c r="E109" t="str">
        <f t="shared" si="5"/>
        <v>Michael  Bello</v>
      </c>
      <c r="F109" t="str">
        <f t="shared" si="6"/>
        <v>EMP</v>
      </c>
      <c r="G109" t="str">
        <f t="shared" si="7"/>
        <v>004</v>
      </c>
      <c r="H109">
        <f t="shared" si="16"/>
        <v>14</v>
      </c>
      <c r="J109">
        <f t="shared" si="8"/>
        <v>2024</v>
      </c>
      <c r="K109">
        <f t="shared" si="9"/>
        <v>4</v>
      </c>
      <c r="L109" t="str">
        <f t="shared" si="10"/>
        <v>April</v>
      </c>
      <c r="M109" t="str">
        <f t="shared" si="11"/>
        <v>Wednesday</v>
      </c>
      <c r="N109">
        <f t="shared" ca="1" si="12"/>
        <v>37</v>
      </c>
      <c r="O109">
        <f t="shared" ca="1" si="13"/>
        <v>2</v>
      </c>
      <c r="P109">
        <v>2023</v>
      </c>
    </row>
    <row r="110" spans="1:31" x14ac:dyDescent="0.25">
      <c r="B110" t="str">
        <f t="shared" si="14"/>
        <v>Chiamaka  Eze</v>
      </c>
      <c r="C110" t="str">
        <f t="shared" si="15"/>
        <v>chiamaka.eze@northstar-group.com</v>
      </c>
      <c r="D110" t="str">
        <f t="shared" si="4"/>
        <v>EMP005  Chiamaka  Eze</v>
      </c>
      <c r="E110" t="str">
        <f t="shared" si="5"/>
        <v>Chiamaka  Eze</v>
      </c>
      <c r="F110" t="str">
        <f t="shared" si="6"/>
        <v>EMP</v>
      </c>
      <c r="G110" t="str">
        <f t="shared" si="7"/>
        <v>005</v>
      </c>
      <c r="H110">
        <f t="shared" si="16"/>
        <v>13</v>
      </c>
      <c r="J110">
        <f t="shared" si="8"/>
        <v>2023</v>
      </c>
      <c r="K110">
        <f t="shared" si="9"/>
        <v>4</v>
      </c>
      <c r="L110" t="str">
        <f t="shared" si="10"/>
        <v>April</v>
      </c>
      <c r="M110" t="str">
        <f t="shared" si="11"/>
        <v>Thursday</v>
      </c>
      <c r="N110">
        <f t="shared" ca="1" si="12"/>
        <v>13</v>
      </c>
      <c r="O110">
        <f t="shared" ca="1" si="13"/>
        <v>3</v>
      </c>
      <c r="P110">
        <v>2024</v>
      </c>
    </row>
    <row r="111" spans="1:31" x14ac:dyDescent="0.25">
      <c r="B111" t="str">
        <f t="shared" si="14"/>
        <v>David  Okoro</v>
      </c>
      <c r="C111" t="str">
        <f t="shared" si="15"/>
        <v>david.okoro@northstar-group.com</v>
      </c>
      <c r="D111" t="str">
        <f t="shared" si="4"/>
        <v>EMP006  David  Okoro</v>
      </c>
      <c r="E111" t="str">
        <f t="shared" si="5"/>
        <v>David  Okoro</v>
      </c>
      <c r="F111" t="str">
        <f t="shared" si="6"/>
        <v>EMP</v>
      </c>
      <c r="G111" t="str">
        <f t="shared" si="7"/>
        <v>006</v>
      </c>
      <c r="H111">
        <f t="shared" si="16"/>
        <v>12</v>
      </c>
      <c r="J111">
        <f t="shared" si="8"/>
        <v>2022</v>
      </c>
      <c r="K111">
        <f t="shared" si="9"/>
        <v>8</v>
      </c>
      <c r="L111" t="str">
        <f t="shared" si="10"/>
        <v>August</v>
      </c>
      <c r="M111" t="str">
        <f t="shared" si="11"/>
        <v>Tuesday</v>
      </c>
      <c r="N111">
        <f t="shared" ca="1" si="12"/>
        <v>37</v>
      </c>
      <c r="O111">
        <f t="shared" ca="1" si="13"/>
        <v>4</v>
      </c>
      <c r="P111">
        <v>2025</v>
      </c>
    </row>
    <row r="112" spans="1:31" x14ac:dyDescent="0.25">
      <c r="B112" t="str">
        <f t="shared" si="14"/>
        <v>Sarah  Ibrahim</v>
      </c>
      <c r="C112" t="str">
        <f t="shared" si="15"/>
        <v>sarah.ibrahim@northstar-group.com</v>
      </c>
      <c r="D112" t="str">
        <f t="shared" si="4"/>
        <v>EMP007  Sarah  Ibrahim</v>
      </c>
      <c r="E112" t="str">
        <f t="shared" si="5"/>
        <v>Sarah  Ibrahim</v>
      </c>
      <c r="F112" t="str">
        <f t="shared" si="6"/>
        <v>EMP</v>
      </c>
      <c r="G112" t="str">
        <f t="shared" si="7"/>
        <v>007</v>
      </c>
      <c r="H112">
        <f t="shared" si="16"/>
        <v>14</v>
      </c>
      <c r="J112">
        <f t="shared" si="8"/>
        <v>2021</v>
      </c>
      <c r="K112">
        <f t="shared" si="9"/>
        <v>12</v>
      </c>
      <c r="L112" t="str">
        <f t="shared" si="10"/>
        <v>December</v>
      </c>
      <c r="M112" t="str">
        <f t="shared" si="11"/>
        <v>Monday</v>
      </c>
      <c r="N112">
        <f t="shared" ca="1" si="12"/>
        <v>17</v>
      </c>
      <c r="O112">
        <f t="shared" ca="1" si="13"/>
        <v>4</v>
      </c>
      <c r="P112">
        <v>2026</v>
      </c>
    </row>
    <row r="113" spans="2:15" x14ac:dyDescent="0.25">
      <c r="B113" t="str">
        <f t="shared" si="14"/>
        <v>James  Adebayo</v>
      </c>
      <c r="C113" t="str">
        <f t="shared" si="15"/>
        <v>james.adebayo@northstar-group.com</v>
      </c>
      <c r="D113" t="str">
        <f t="shared" si="4"/>
        <v>EMP008  James  Adebayo</v>
      </c>
      <c r="E113" t="str">
        <f t="shared" si="5"/>
        <v>James  Adebayo</v>
      </c>
      <c r="F113" t="str">
        <f t="shared" si="6"/>
        <v>EMP</v>
      </c>
      <c r="G113" t="str">
        <f t="shared" si="7"/>
        <v>008</v>
      </c>
      <c r="H113">
        <f t="shared" si="16"/>
        <v>14</v>
      </c>
      <c r="J113">
        <f t="shared" si="8"/>
        <v>2023</v>
      </c>
      <c r="K113">
        <f t="shared" si="9"/>
        <v>8</v>
      </c>
      <c r="L113" t="str">
        <f t="shared" si="10"/>
        <v>August</v>
      </c>
      <c r="M113" t="str">
        <f t="shared" si="11"/>
        <v>Saturday</v>
      </c>
      <c r="N113">
        <f t="shared" ca="1" si="12"/>
        <v>39</v>
      </c>
      <c r="O113">
        <f t="shared" ca="1" si="13"/>
        <v>3</v>
      </c>
    </row>
    <row r="114" spans="2:15" x14ac:dyDescent="0.25">
      <c r="B114" t="str">
        <f t="shared" si="14"/>
        <v>Blessing  Nwosu</v>
      </c>
      <c r="C114" t="str">
        <f t="shared" si="15"/>
        <v>blessing.nwosu@northstar-group.com</v>
      </c>
      <c r="D114" t="str">
        <f t="shared" si="4"/>
        <v>EMP009  Blessing  Nwosu</v>
      </c>
      <c r="E114" t="str">
        <f t="shared" si="5"/>
        <v>Blessing  Nwosu</v>
      </c>
      <c r="F114" t="str">
        <f t="shared" si="6"/>
        <v>EMP</v>
      </c>
      <c r="G114" t="str">
        <f t="shared" si="7"/>
        <v>009</v>
      </c>
      <c r="H114">
        <f t="shared" si="16"/>
        <v>15</v>
      </c>
      <c r="J114">
        <f t="shared" si="8"/>
        <v>2025</v>
      </c>
      <c r="K114">
        <f t="shared" si="9"/>
        <v>8</v>
      </c>
      <c r="L114" t="str">
        <f t="shared" si="10"/>
        <v>August</v>
      </c>
      <c r="M114" t="str">
        <f t="shared" si="11"/>
        <v>Monday</v>
      </c>
      <c r="N114">
        <f t="shared" ca="1" si="12"/>
        <v>23</v>
      </c>
      <c r="O114">
        <f t="shared" ca="1" si="13"/>
        <v>1</v>
      </c>
    </row>
    <row r="115" spans="2:15" x14ac:dyDescent="0.25">
      <c r="B115" t="str">
        <f t="shared" si="14"/>
        <v>Victor  Umeh</v>
      </c>
      <c r="C115" t="str">
        <f t="shared" si="15"/>
        <v>victor.umeh@northstar-group.com</v>
      </c>
      <c r="D115" t="str">
        <f t="shared" si="4"/>
        <v>EMP010  Victor  Umeh</v>
      </c>
      <c r="E115" t="str">
        <f t="shared" si="5"/>
        <v>Victor  Umeh</v>
      </c>
      <c r="F115" t="str">
        <f t="shared" si="6"/>
        <v>EMP</v>
      </c>
      <c r="G115" t="str">
        <f t="shared" si="7"/>
        <v>010</v>
      </c>
      <c r="H115">
        <f t="shared" si="16"/>
        <v>12</v>
      </c>
      <c r="J115">
        <f t="shared" si="8"/>
        <v>2026</v>
      </c>
      <c r="K115">
        <f t="shared" si="9"/>
        <v>7</v>
      </c>
      <c r="L115" t="str">
        <f t="shared" si="10"/>
        <v>July</v>
      </c>
      <c r="M115" t="str">
        <f t="shared" si="11"/>
        <v>Thursday</v>
      </c>
      <c r="N115">
        <f t="shared" ca="1" si="12"/>
        <v>23</v>
      </c>
      <c r="O115">
        <f t="shared" ca="1" si="13"/>
        <v>0</v>
      </c>
    </row>
    <row r="116" spans="2:15" x14ac:dyDescent="0.25">
      <c r="B116" t="str">
        <f t="shared" si="14"/>
        <v>John  Smith</v>
      </c>
      <c r="C116" t="str">
        <f t="shared" si="15"/>
        <v>john.smith@northstar-group.com</v>
      </c>
      <c r="D116" t="str">
        <f t="shared" si="4"/>
        <v>EMP011  John  Smith</v>
      </c>
      <c r="E116" t="str">
        <f t="shared" si="5"/>
        <v>John  Smith</v>
      </c>
      <c r="F116" t="str">
        <f t="shared" si="6"/>
        <v>EMP</v>
      </c>
      <c r="G116" t="str">
        <f t="shared" si="7"/>
        <v>011</v>
      </c>
      <c r="H116">
        <f t="shared" si="16"/>
        <v>11</v>
      </c>
      <c r="J116">
        <f t="shared" si="8"/>
        <v>2020</v>
      </c>
      <c r="K116">
        <f t="shared" si="9"/>
        <v>9</v>
      </c>
      <c r="L116" t="str">
        <f t="shared" si="10"/>
        <v>September</v>
      </c>
      <c r="M116" t="str">
        <f t="shared" si="11"/>
        <v>Tuesday</v>
      </c>
      <c r="N116">
        <f t="shared" ca="1" si="12"/>
        <v>24</v>
      </c>
      <c r="O116">
        <f t="shared" ca="1" si="13"/>
        <v>6</v>
      </c>
    </row>
    <row r="117" spans="2:15" x14ac:dyDescent="0.25">
      <c r="B117" t="str">
        <f t="shared" si="14"/>
        <v>Mary  Williams</v>
      </c>
      <c r="C117" t="str">
        <f t="shared" si="15"/>
        <v>mary.williams@northstar-group.com</v>
      </c>
      <c r="D117" t="str">
        <f t="shared" si="4"/>
        <v>EMP012  Mary  Williams</v>
      </c>
      <c r="E117" t="str">
        <f t="shared" si="5"/>
        <v>Mary  Williams</v>
      </c>
      <c r="F117" t="str">
        <f t="shared" si="6"/>
        <v>EMP</v>
      </c>
      <c r="G117" t="str">
        <f t="shared" si="7"/>
        <v>012</v>
      </c>
      <c r="H117">
        <f t="shared" si="16"/>
        <v>14</v>
      </c>
      <c r="J117">
        <f t="shared" si="8"/>
        <v>2023</v>
      </c>
      <c r="K117">
        <f t="shared" si="9"/>
        <v>1</v>
      </c>
      <c r="L117" t="str">
        <f t="shared" si="10"/>
        <v>January</v>
      </c>
      <c r="M117" t="str">
        <f t="shared" si="11"/>
        <v>Monday</v>
      </c>
      <c r="N117">
        <f t="shared" ca="1" si="12"/>
        <v>12</v>
      </c>
      <c r="O117">
        <f t="shared" ca="1" si="13"/>
        <v>3</v>
      </c>
    </row>
    <row r="118" spans="2:15" x14ac:dyDescent="0.25">
      <c r="B118" t="str">
        <f t="shared" si="14"/>
        <v>Peter  Johnson</v>
      </c>
      <c r="C118" t="str">
        <f t="shared" si="15"/>
        <v>peter.johnson@northstar-group.com</v>
      </c>
      <c r="D118" t="str">
        <f t="shared" si="4"/>
        <v>EMP013  Peter  Johnson</v>
      </c>
      <c r="E118" t="str">
        <f t="shared" si="5"/>
        <v>Peter  Johnson</v>
      </c>
      <c r="F118" t="str">
        <f t="shared" si="6"/>
        <v>EMP</v>
      </c>
      <c r="G118" t="str">
        <f t="shared" si="7"/>
        <v>013</v>
      </c>
      <c r="H118">
        <f t="shared" si="16"/>
        <v>14</v>
      </c>
      <c r="J118">
        <f t="shared" si="8"/>
        <v>2022</v>
      </c>
      <c r="K118">
        <f t="shared" si="9"/>
        <v>1</v>
      </c>
      <c r="L118" t="str">
        <f t="shared" si="10"/>
        <v>January</v>
      </c>
      <c r="M118" t="str">
        <f t="shared" si="11"/>
        <v>Thursday</v>
      </c>
      <c r="N118">
        <f t="shared" ca="1" si="12"/>
        <v>18</v>
      </c>
      <c r="O118">
        <f t="shared" ca="1" si="13"/>
        <v>4</v>
      </c>
    </row>
    <row r="119" spans="2:15" x14ac:dyDescent="0.25">
      <c r="B119" t="str">
        <f t="shared" si="14"/>
        <v>Esther  Brown</v>
      </c>
      <c r="C119" t="str">
        <f t="shared" si="15"/>
        <v>esther.brown@northstar-group.com</v>
      </c>
      <c r="D119" t="str">
        <f t="shared" si="4"/>
        <v>EMP014  Esther  Brown</v>
      </c>
      <c r="E119" t="str">
        <f t="shared" si="5"/>
        <v>Esther  Brown</v>
      </c>
      <c r="F119" t="str">
        <f t="shared" si="6"/>
        <v>EMP</v>
      </c>
      <c r="G119" t="str">
        <f t="shared" si="7"/>
        <v>014</v>
      </c>
      <c r="H119">
        <f t="shared" si="16"/>
        <v>13</v>
      </c>
      <c r="J119">
        <f t="shared" si="8"/>
        <v>2023</v>
      </c>
      <c r="K119">
        <f t="shared" si="9"/>
        <v>8</v>
      </c>
      <c r="L119" t="str">
        <f t="shared" si="10"/>
        <v>August</v>
      </c>
      <c r="M119" t="str">
        <f t="shared" si="11"/>
        <v>Friday</v>
      </c>
      <c r="N119">
        <f t="shared" ca="1" si="12"/>
        <v>19</v>
      </c>
      <c r="O119">
        <f t="shared" ca="1" si="13"/>
        <v>3</v>
      </c>
    </row>
    <row r="120" spans="2:15" x14ac:dyDescent="0.25">
      <c r="B120" t="str">
        <f t="shared" si="14"/>
        <v>Ifeoma  Okafor</v>
      </c>
      <c r="C120" t="str">
        <f t="shared" si="15"/>
        <v>ifeoma.okafor@northstar-group.com</v>
      </c>
      <c r="D120" t="str">
        <f t="shared" si="4"/>
        <v>EMP015  Ifeoma  Okafor</v>
      </c>
      <c r="E120" t="str">
        <f t="shared" si="5"/>
        <v>Ifeoma  Okafor</v>
      </c>
      <c r="F120" t="str">
        <f t="shared" si="6"/>
        <v>EMP</v>
      </c>
      <c r="G120" t="str">
        <f t="shared" si="7"/>
        <v>015</v>
      </c>
      <c r="H120">
        <f t="shared" si="16"/>
        <v>14</v>
      </c>
      <c r="J120">
        <f t="shared" si="8"/>
        <v>2025</v>
      </c>
      <c r="K120">
        <f t="shared" si="9"/>
        <v>6</v>
      </c>
      <c r="L120" t="str">
        <f t="shared" si="10"/>
        <v>June</v>
      </c>
      <c r="M120" t="str">
        <f t="shared" si="11"/>
        <v>Wednesday</v>
      </c>
      <c r="N120">
        <f t="shared" ca="1" si="12"/>
        <v>38</v>
      </c>
      <c r="O120">
        <f t="shared" ca="1" si="13"/>
        <v>1</v>
      </c>
    </row>
    <row r="121" spans="2:15" x14ac:dyDescent="0.25">
      <c r="B121" t="str">
        <f t="shared" si="14"/>
        <v>Samuel  Mensah</v>
      </c>
      <c r="C121" t="str">
        <f t="shared" si="15"/>
        <v>samuel.mensah@northstar-group.com</v>
      </c>
      <c r="D121" t="str">
        <f t="shared" si="4"/>
        <v>EMP016  Samuel  Mensah</v>
      </c>
      <c r="E121" t="str">
        <f t="shared" si="5"/>
        <v>Samuel  Mensah</v>
      </c>
      <c r="F121" t="str">
        <f t="shared" si="6"/>
        <v>EMP</v>
      </c>
      <c r="G121" t="str">
        <f t="shared" si="7"/>
        <v>016</v>
      </c>
      <c r="H121">
        <f t="shared" si="16"/>
        <v>14</v>
      </c>
      <c r="J121">
        <f t="shared" si="8"/>
        <v>2024</v>
      </c>
      <c r="K121">
        <f t="shared" si="9"/>
        <v>10</v>
      </c>
      <c r="L121" t="str">
        <f t="shared" si="10"/>
        <v>October</v>
      </c>
      <c r="M121" t="str">
        <f t="shared" si="11"/>
        <v>Friday</v>
      </c>
      <c r="N121">
        <f t="shared" ca="1" si="12"/>
        <v>32</v>
      </c>
      <c r="O121">
        <f t="shared" ca="1" si="13"/>
        <v>1</v>
      </c>
    </row>
    <row r="122" spans="2:15" x14ac:dyDescent="0.25">
      <c r="B122" t="str">
        <f t="shared" si="14"/>
        <v>Ruth  Adeyemi</v>
      </c>
      <c r="C122" t="str">
        <f t="shared" si="15"/>
        <v>ruth.adeyemi@northstar-group.com</v>
      </c>
      <c r="D122" t="str">
        <f t="shared" si="4"/>
        <v>EMP017  Ruth  Adeyemi</v>
      </c>
      <c r="E122" t="str">
        <f t="shared" si="5"/>
        <v>Ruth  Adeyemi</v>
      </c>
      <c r="F122" t="str">
        <f t="shared" si="6"/>
        <v>EMP</v>
      </c>
      <c r="G122" t="str">
        <f t="shared" si="7"/>
        <v>017</v>
      </c>
      <c r="H122">
        <f t="shared" si="16"/>
        <v>13</v>
      </c>
      <c r="J122">
        <f t="shared" si="8"/>
        <v>2022</v>
      </c>
      <c r="K122">
        <f t="shared" si="9"/>
        <v>7</v>
      </c>
      <c r="L122" t="str">
        <f t="shared" si="10"/>
        <v>July</v>
      </c>
      <c r="M122" t="str">
        <f t="shared" si="11"/>
        <v>Thursday</v>
      </c>
      <c r="N122">
        <f t="shared" ca="1" si="12"/>
        <v>38</v>
      </c>
      <c r="O122">
        <f t="shared" ca="1" si="13"/>
        <v>4</v>
      </c>
    </row>
    <row r="123" spans="2:15" x14ac:dyDescent="0.25">
      <c r="B123" t="str">
        <f t="shared" si="14"/>
        <v>Emeka  Bello</v>
      </c>
      <c r="C123" t="str">
        <f t="shared" si="15"/>
        <v>emeka.bello@northstar-group.com</v>
      </c>
      <c r="D123" t="str">
        <f t="shared" si="4"/>
        <v>EMP018  Emeka  Bello</v>
      </c>
      <c r="E123" t="str">
        <f t="shared" si="5"/>
        <v>Emeka  Bello</v>
      </c>
      <c r="F123" t="str">
        <f t="shared" si="6"/>
        <v>EMP</v>
      </c>
      <c r="G123" t="str">
        <f t="shared" si="7"/>
        <v>018</v>
      </c>
      <c r="H123">
        <f t="shared" si="16"/>
        <v>12</v>
      </c>
      <c r="J123">
        <f t="shared" si="8"/>
        <v>2020</v>
      </c>
      <c r="K123">
        <f t="shared" si="9"/>
        <v>5</v>
      </c>
      <c r="L123" t="str">
        <f t="shared" si="10"/>
        <v>May</v>
      </c>
      <c r="M123" t="str">
        <f t="shared" si="11"/>
        <v>Wednesday</v>
      </c>
      <c r="N123">
        <f t="shared" ca="1" si="12"/>
        <v>26</v>
      </c>
      <c r="O123">
        <f t="shared" ca="1" si="13"/>
        <v>6</v>
      </c>
    </row>
    <row r="124" spans="2:15" x14ac:dyDescent="0.25">
      <c r="B124" t="str">
        <f t="shared" si="14"/>
        <v>Linda  Eze</v>
      </c>
      <c r="C124" t="str">
        <f t="shared" si="15"/>
        <v>linda.eze@northstar-group.com</v>
      </c>
      <c r="D124" t="str">
        <f t="shared" si="4"/>
        <v>EMP019  Linda  Eze</v>
      </c>
      <c r="E124" t="str">
        <f t="shared" si="5"/>
        <v>Linda  Eze</v>
      </c>
      <c r="F124" t="str">
        <f t="shared" si="6"/>
        <v>EMP</v>
      </c>
      <c r="G124" t="str">
        <f t="shared" si="7"/>
        <v>019</v>
      </c>
      <c r="H124">
        <f t="shared" si="16"/>
        <v>10</v>
      </c>
      <c r="J124">
        <f t="shared" si="8"/>
        <v>2025</v>
      </c>
      <c r="K124">
        <f t="shared" si="9"/>
        <v>4</v>
      </c>
      <c r="L124" t="str">
        <f t="shared" si="10"/>
        <v>April</v>
      </c>
      <c r="M124" t="str">
        <f t="shared" si="11"/>
        <v>Friday</v>
      </c>
      <c r="N124">
        <f t="shared" ca="1" si="12"/>
        <v>30</v>
      </c>
      <c r="O124">
        <f t="shared" ca="1" si="13"/>
        <v>1</v>
      </c>
    </row>
    <row r="125" spans="2:15" x14ac:dyDescent="0.25">
      <c r="B125" t="str">
        <f t="shared" si="14"/>
        <v>Brian  Okoro</v>
      </c>
      <c r="C125" t="str">
        <f t="shared" si="15"/>
        <v>brian.okoro@northstar-group.com</v>
      </c>
      <c r="D125" t="str">
        <f t="shared" si="4"/>
        <v>EMP020  Brian  Okoro</v>
      </c>
      <c r="E125" t="str">
        <f t="shared" si="5"/>
        <v>Brian  Okoro</v>
      </c>
      <c r="F125" t="str">
        <f t="shared" si="6"/>
        <v>EMP</v>
      </c>
      <c r="G125" t="str">
        <f t="shared" si="7"/>
        <v>020</v>
      </c>
      <c r="H125">
        <f t="shared" si="16"/>
        <v>12</v>
      </c>
      <c r="J125">
        <f t="shared" si="8"/>
        <v>2025</v>
      </c>
      <c r="K125">
        <f t="shared" si="9"/>
        <v>4</v>
      </c>
      <c r="L125" t="str">
        <f t="shared" si="10"/>
        <v>April</v>
      </c>
      <c r="M125" t="str">
        <f t="shared" si="11"/>
        <v>Tuesday</v>
      </c>
      <c r="N125">
        <f t="shared" ca="1" si="12"/>
        <v>9</v>
      </c>
      <c r="O125">
        <f t="shared" ca="1" si="13"/>
        <v>1</v>
      </c>
    </row>
    <row r="126" spans="2:15" x14ac:dyDescent="0.25">
      <c r="B126" t="str">
        <f t="shared" si="14"/>
        <v>Tolu  Ibrahim</v>
      </c>
      <c r="C126" t="str">
        <f t="shared" si="15"/>
        <v>tolu.ibrahim@northstar-group.com</v>
      </c>
      <c r="D126" t="str">
        <f t="shared" si="4"/>
        <v>EMP021  Tolu  Ibrahim</v>
      </c>
      <c r="E126" t="str">
        <f t="shared" si="5"/>
        <v>Tolu  Ibrahim</v>
      </c>
      <c r="F126" t="str">
        <f t="shared" si="6"/>
        <v>EMP</v>
      </c>
      <c r="G126" t="str">
        <f t="shared" si="7"/>
        <v>021</v>
      </c>
      <c r="H126">
        <f t="shared" si="16"/>
        <v>13</v>
      </c>
      <c r="J126">
        <f t="shared" si="8"/>
        <v>2022</v>
      </c>
      <c r="K126">
        <f t="shared" si="9"/>
        <v>2</v>
      </c>
      <c r="L126" t="str">
        <f t="shared" si="10"/>
        <v>February</v>
      </c>
      <c r="M126" t="str">
        <f t="shared" si="11"/>
        <v>Wednesday</v>
      </c>
      <c r="N126">
        <f t="shared" ca="1" si="12"/>
        <v>17</v>
      </c>
      <c r="O126">
        <f t="shared" ca="1" si="13"/>
        <v>4</v>
      </c>
    </row>
    <row r="127" spans="2:15" x14ac:dyDescent="0.25">
      <c r="B127" t="str">
        <f t="shared" si="14"/>
        <v>Ngozi  Adebayo</v>
      </c>
      <c r="C127" t="str">
        <f t="shared" si="15"/>
        <v>ngozi.adebayo@northstar-group.com</v>
      </c>
      <c r="D127" t="str">
        <f t="shared" si="4"/>
        <v>EMP022  Ngozi  Adebayo</v>
      </c>
      <c r="E127" t="str">
        <f t="shared" si="5"/>
        <v>Ngozi  Adebayo</v>
      </c>
      <c r="F127" t="str">
        <f t="shared" si="6"/>
        <v>EMP</v>
      </c>
      <c r="G127" t="str">
        <f t="shared" si="7"/>
        <v>022</v>
      </c>
      <c r="H127">
        <f t="shared" si="16"/>
        <v>14</v>
      </c>
      <c r="J127">
        <f t="shared" si="8"/>
        <v>2020</v>
      </c>
      <c r="K127">
        <f t="shared" si="9"/>
        <v>7</v>
      </c>
      <c r="L127" t="str">
        <f t="shared" si="10"/>
        <v>July</v>
      </c>
      <c r="M127" t="str">
        <f t="shared" si="11"/>
        <v>Friday</v>
      </c>
      <c r="N127">
        <f t="shared" ca="1" si="12"/>
        <v>12</v>
      </c>
      <c r="O127">
        <f t="shared" ca="1" si="13"/>
        <v>6</v>
      </c>
    </row>
    <row r="128" spans="2:15" x14ac:dyDescent="0.25">
      <c r="B128" t="str">
        <f t="shared" si="14"/>
        <v>Henry  Nwosu</v>
      </c>
      <c r="C128" t="str">
        <f t="shared" si="15"/>
        <v>henry.nwosu@northstar-group.com</v>
      </c>
      <c r="D128" t="str">
        <f t="shared" si="4"/>
        <v>EMP023  Henry  Nwosu</v>
      </c>
      <c r="E128" t="str">
        <f t="shared" si="5"/>
        <v>Henry  Nwosu</v>
      </c>
      <c r="F128" t="str">
        <f t="shared" si="6"/>
        <v>EMP</v>
      </c>
      <c r="G128" t="str">
        <f t="shared" si="7"/>
        <v>023</v>
      </c>
      <c r="H128">
        <f t="shared" si="16"/>
        <v>12</v>
      </c>
      <c r="J128">
        <f t="shared" si="8"/>
        <v>2021</v>
      </c>
      <c r="K128">
        <f t="shared" si="9"/>
        <v>11</v>
      </c>
      <c r="L128" t="str">
        <f t="shared" si="10"/>
        <v>November</v>
      </c>
      <c r="M128" t="str">
        <f t="shared" si="11"/>
        <v>Wednesday</v>
      </c>
      <c r="N128">
        <f t="shared" ca="1" si="12"/>
        <v>24</v>
      </c>
      <c r="O128">
        <f t="shared" ca="1" si="13"/>
        <v>4</v>
      </c>
    </row>
    <row r="129" spans="2:15" x14ac:dyDescent="0.25">
      <c r="B129" t="str">
        <f t="shared" si="14"/>
        <v>Janet  Umeh</v>
      </c>
      <c r="C129" t="str">
        <f t="shared" si="15"/>
        <v>janet.umeh@northstar-group.com</v>
      </c>
      <c r="D129" t="str">
        <f t="shared" si="4"/>
        <v>EMP024  Janet  Umeh</v>
      </c>
      <c r="E129" t="str">
        <f t="shared" si="5"/>
        <v>Janet  Umeh</v>
      </c>
      <c r="F129" t="str">
        <f t="shared" si="6"/>
        <v>EMP</v>
      </c>
      <c r="G129" t="str">
        <f t="shared" si="7"/>
        <v>024</v>
      </c>
      <c r="H129">
        <f t="shared" si="16"/>
        <v>11</v>
      </c>
      <c r="J129">
        <f t="shared" si="8"/>
        <v>2023</v>
      </c>
      <c r="K129">
        <f t="shared" si="9"/>
        <v>5</v>
      </c>
      <c r="L129" t="str">
        <f t="shared" si="10"/>
        <v>May</v>
      </c>
      <c r="M129" t="str">
        <f t="shared" si="11"/>
        <v>Friday</v>
      </c>
      <c r="N129">
        <f t="shared" ca="1" si="12"/>
        <v>31</v>
      </c>
      <c r="O129">
        <f t="shared" ca="1" si="13"/>
        <v>3</v>
      </c>
    </row>
    <row r="130" spans="2:15" x14ac:dyDescent="0.25">
      <c r="B130" t="str">
        <f t="shared" si="14"/>
        <v>Paul  Smith</v>
      </c>
      <c r="C130" t="str">
        <f t="shared" si="15"/>
        <v>paul.smith@northstar-group.com</v>
      </c>
      <c r="D130" t="str">
        <f t="shared" si="4"/>
        <v>EMP025  Paul  Smith</v>
      </c>
      <c r="E130" t="str">
        <f t="shared" si="5"/>
        <v>Paul  Smith</v>
      </c>
      <c r="F130" t="str">
        <f t="shared" si="6"/>
        <v>EMP</v>
      </c>
      <c r="G130" t="str">
        <f t="shared" si="7"/>
        <v>025</v>
      </c>
      <c r="H130">
        <f t="shared" si="16"/>
        <v>11</v>
      </c>
      <c r="J130">
        <f t="shared" si="8"/>
        <v>2025</v>
      </c>
      <c r="K130">
        <f t="shared" si="9"/>
        <v>12</v>
      </c>
      <c r="L130" t="str">
        <f t="shared" si="10"/>
        <v>December</v>
      </c>
      <c r="M130" t="str">
        <f t="shared" si="11"/>
        <v>Saturday</v>
      </c>
      <c r="N130">
        <f t="shared" ca="1" si="12"/>
        <v>34</v>
      </c>
      <c r="O130">
        <f t="shared" ca="1" si="13"/>
        <v>0</v>
      </c>
    </row>
    <row r="131" spans="2:15" x14ac:dyDescent="0.25">
      <c r="B131" t="str">
        <f t="shared" si="14"/>
        <v>Mercy  Williams</v>
      </c>
      <c r="C131" t="str">
        <f t="shared" si="15"/>
        <v>mercy.williams@northstar-group.com</v>
      </c>
      <c r="D131" t="str">
        <f t="shared" si="4"/>
        <v>EMP026  Mercy  Williams</v>
      </c>
      <c r="E131" t="str">
        <f t="shared" si="5"/>
        <v>Mercy  Williams</v>
      </c>
      <c r="F131" t="str">
        <f t="shared" si="6"/>
        <v>EMP</v>
      </c>
      <c r="G131" t="str">
        <f t="shared" si="7"/>
        <v>026</v>
      </c>
      <c r="H131">
        <f t="shared" si="16"/>
        <v>15</v>
      </c>
      <c r="J131">
        <f t="shared" si="8"/>
        <v>2022</v>
      </c>
      <c r="K131">
        <f t="shared" si="9"/>
        <v>10</v>
      </c>
      <c r="L131" t="str">
        <f t="shared" si="10"/>
        <v>October</v>
      </c>
      <c r="M131" t="str">
        <f t="shared" si="11"/>
        <v>Monday</v>
      </c>
      <c r="N131">
        <f t="shared" ca="1" si="12"/>
        <v>15</v>
      </c>
      <c r="O131">
        <f t="shared" ca="1" si="13"/>
        <v>3</v>
      </c>
    </row>
    <row r="132" spans="2:15" x14ac:dyDescent="0.25">
      <c r="B132" t="str">
        <f t="shared" si="14"/>
        <v>Kevin  Johnson</v>
      </c>
      <c r="C132" t="str">
        <f t="shared" si="15"/>
        <v>kevin.johnson@northstar-group.com</v>
      </c>
      <c r="D132" t="str">
        <f t="shared" si="4"/>
        <v>EMP027  Kevin  Johnson</v>
      </c>
      <c r="E132" t="str">
        <f t="shared" si="5"/>
        <v>Kevin  Johnson</v>
      </c>
      <c r="F132" t="str">
        <f t="shared" si="6"/>
        <v>EMP</v>
      </c>
      <c r="G132" t="str">
        <f t="shared" si="7"/>
        <v>027</v>
      </c>
      <c r="H132">
        <f t="shared" si="16"/>
        <v>14</v>
      </c>
      <c r="J132">
        <f t="shared" si="8"/>
        <v>2023</v>
      </c>
      <c r="K132">
        <f t="shared" si="9"/>
        <v>7</v>
      </c>
      <c r="L132" t="str">
        <f t="shared" si="10"/>
        <v>July</v>
      </c>
      <c r="M132" t="str">
        <f t="shared" si="11"/>
        <v>Saturday</v>
      </c>
      <c r="N132">
        <f t="shared" ca="1" si="12"/>
        <v>31</v>
      </c>
      <c r="O132">
        <f t="shared" ca="1" si="13"/>
        <v>3</v>
      </c>
    </row>
    <row r="133" spans="2:15" x14ac:dyDescent="0.25">
      <c r="B133" t="str">
        <f t="shared" si="14"/>
        <v>Ada  Brown</v>
      </c>
      <c r="C133" t="str">
        <f t="shared" si="15"/>
        <v>ada.brown@northstar-group.com</v>
      </c>
      <c r="D133" t="str">
        <f t="shared" si="4"/>
        <v>EMP028  Ada  Brown</v>
      </c>
      <c r="E133" t="str">
        <f t="shared" si="5"/>
        <v>Ada  Brown</v>
      </c>
      <c r="F133" t="str">
        <f t="shared" si="6"/>
        <v>EMP</v>
      </c>
      <c r="G133" t="str">
        <f t="shared" si="7"/>
        <v>028</v>
      </c>
      <c r="H133">
        <f t="shared" si="16"/>
        <v>10</v>
      </c>
      <c r="J133">
        <f t="shared" si="8"/>
        <v>2021</v>
      </c>
      <c r="K133">
        <f t="shared" si="9"/>
        <v>2</v>
      </c>
      <c r="L133" t="str">
        <f t="shared" si="10"/>
        <v>February</v>
      </c>
      <c r="M133" t="str">
        <f t="shared" si="11"/>
        <v>Thursday</v>
      </c>
      <c r="N133">
        <f t="shared" ca="1" si="12"/>
        <v>38</v>
      </c>
      <c r="O133">
        <f t="shared" ca="1" si="13"/>
        <v>5</v>
      </c>
    </row>
    <row r="134" spans="2:15" x14ac:dyDescent="0.25">
      <c r="B134" t="str">
        <f t="shared" si="14"/>
        <v>Joseph  Okafor</v>
      </c>
      <c r="C134" t="str">
        <f t="shared" si="15"/>
        <v>joseph.okafor@northstar-group.com</v>
      </c>
      <c r="D134" t="str">
        <f t="shared" si="4"/>
        <v>EMP029  Joseph  Okafor</v>
      </c>
      <c r="E134" t="str">
        <f t="shared" si="5"/>
        <v>Joseph  Okafor</v>
      </c>
      <c r="F134" t="str">
        <f t="shared" si="6"/>
        <v>EMP</v>
      </c>
      <c r="G134" t="str">
        <f t="shared" si="7"/>
        <v>029</v>
      </c>
      <c r="H134">
        <f t="shared" si="16"/>
        <v>14</v>
      </c>
      <c r="J134">
        <f t="shared" si="8"/>
        <v>2024</v>
      </c>
      <c r="K134">
        <f t="shared" si="9"/>
        <v>12</v>
      </c>
      <c r="L134" t="str">
        <f t="shared" si="10"/>
        <v>December</v>
      </c>
      <c r="M134" t="str">
        <f t="shared" si="11"/>
        <v>Wednesday</v>
      </c>
      <c r="N134">
        <f t="shared" ca="1" si="12"/>
        <v>17</v>
      </c>
      <c r="O134">
        <f t="shared" ca="1" si="13"/>
        <v>1</v>
      </c>
    </row>
    <row r="135" spans="2:15" x14ac:dyDescent="0.25">
      <c r="B135" t="str">
        <f t="shared" si="14"/>
        <v>Rose  Mensah</v>
      </c>
      <c r="C135" t="str">
        <f t="shared" si="15"/>
        <v>rose.mensah@northstar-group.com</v>
      </c>
      <c r="D135" t="str">
        <f t="shared" si="4"/>
        <v>EMP030  Rose  Mensah</v>
      </c>
      <c r="E135" t="str">
        <f t="shared" si="5"/>
        <v>Rose  Mensah</v>
      </c>
      <c r="F135" t="str">
        <f t="shared" si="6"/>
        <v>EMP</v>
      </c>
      <c r="G135" t="str">
        <f t="shared" si="7"/>
        <v>030</v>
      </c>
      <c r="H135">
        <f t="shared" si="16"/>
        <v>12</v>
      </c>
      <c r="J135">
        <f t="shared" si="8"/>
        <v>2021</v>
      </c>
      <c r="K135">
        <f t="shared" si="9"/>
        <v>4</v>
      </c>
      <c r="L135" t="str">
        <f t="shared" si="10"/>
        <v>April</v>
      </c>
      <c r="M135" t="str">
        <f t="shared" si="11"/>
        <v>Thursday</v>
      </c>
      <c r="N135">
        <f t="shared" ca="1" si="12"/>
        <v>36</v>
      </c>
      <c r="O135">
        <f t="shared" ca="1" si="13"/>
        <v>5</v>
      </c>
    </row>
    <row r="136" spans="2:15" x14ac:dyDescent="0.25">
      <c r="B136" t="str">
        <f t="shared" si="14"/>
        <v>Aisha  Adeyemi</v>
      </c>
      <c r="C136" t="str">
        <f t="shared" si="15"/>
        <v>aisha.adeyemi@northstar-group.com</v>
      </c>
      <c r="D136" t="str">
        <f t="shared" si="4"/>
        <v>EMP031  Aisha  Adeyemi</v>
      </c>
      <c r="E136" t="str">
        <f t="shared" si="5"/>
        <v>Aisha  Adeyemi</v>
      </c>
      <c r="F136" t="str">
        <f t="shared" si="6"/>
        <v>EMP</v>
      </c>
      <c r="G136" t="str">
        <f t="shared" si="7"/>
        <v>031</v>
      </c>
      <c r="H136">
        <f t="shared" si="16"/>
        <v>14</v>
      </c>
      <c r="J136">
        <f t="shared" si="8"/>
        <v>2022</v>
      </c>
      <c r="K136">
        <f t="shared" si="9"/>
        <v>10</v>
      </c>
      <c r="L136" t="str">
        <f t="shared" si="10"/>
        <v>October</v>
      </c>
      <c r="M136" t="str">
        <f t="shared" si="11"/>
        <v>Sunday</v>
      </c>
      <c r="N136">
        <f t="shared" ca="1" si="12"/>
        <v>39</v>
      </c>
      <c r="O136">
        <f t="shared" ca="1" si="13"/>
        <v>3</v>
      </c>
    </row>
    <row r="137" spans="2:15" x14ac:dyDescent="0.25">
      <c r="B137" t="str">
        <f t="shared" si="14"/>
        <v>Daniel  Bello</v>
      </c>
      <c r="C137" t="str">
        <f t="shared" si="15"/>
        <v>daniel.bello@northstar-group.com</v>
      </c>
      <c r="D137" t="str">
        <f t="shared" si="4"/>
        <v>EMP032  Daniel  Bello</v>
      </c>
      <c r="E137" t="str">
        <f t="shared" si="5"/>
        <v>Daniel  Bello</v>
      </c>
      <c r="F137" t="str">
        <f t="shared" si="6"/>
        <v>EMP</v>
      </c>
      <c r="G137" t="str">
        <f t="shared" si="7"/>
        <v>032</v>
      </c>
      <c r="H137">
        <f t="shared" si="16"/>
        <v>13</v>
      </c>
      <c r="J137">
        <f t="shared" si="8"/>
        <v>2024</v>
      </c>
      <c r="K137">
        <f t="shared" si="9"/>
        <v>12</v>
      </c>
      <c r="L137" t="str">
        <f t="shared" si="10"/>
        <v>December</v>
      </c>
      <c r="M137" t="str">
        <f t="shared" si="11"/>
        <v>Thursday</v>
      </c>
      <c r="N137">
        <f t="shared" ca="1" si="12"/>
        <v>16</v>
      </c>
      <c r="O137">
        <f t="shared" ca="1" si="13"/>
        <v>1</v>
      </c>
    </row>
    <row r="138" spans="2:15" x14ac:dyDescent="0.25">
      <c r="B138" t="str">
        <f t="shared" si="14"/>
        <v>Grace  Eze</v>
      </c>
      <c r="C138" t="str">
        <f t="shared" si="15"/>
        <v>grace.eze@northstar-group.com</v>
      </c>
      <c r="D138" t="str">
        <f t="shared" ref="D138:D169" si="17">_xlfn.CONCAT(A34,"  ",B138)</f>
        <v>EMP033  Grace  Eze</v>
      </c>
      <c r="E138" t="str">
        <f t="shared" ref="E138:E169" si="18">PROPER(B138)</f>
        <v>Grace  Eze</v>
      </c>
      <c r="F138" t="str">
        <f t="shared" ref="F138:F169" si="19">LEFT(A34,3)</f>
        <v>EMP</v>
      </c>
      <c r="G138" t="str">
        <f t="shared" ref="G138:G169" si="20">RIGHT(A34,3)</f>
        <v>033</v>
      </c>
      <c r="H138">
        <f t="shared" si="16"/>
        <v>10</v>
      </c>
      <c r="J138">
        <f t="shared" ref="J138:J169" si="21">YEAR(H34)</f>
        <v>2026</v>
      </c>
      <c r="K138">
        <f t="shared" ref="K138:K169" si="22">MONTH(H34)</f>
        <v>3</v>
      </c>
      <c r="L138" t="str">
        <f t="shared" ref="L138:L169" si="23">TEXT(H34,"MMMM")</f>
        <v>March</v>
      </c>
      <c r="M138" t="str">
        <f t="shared" ref="M138:M169" si="24">TEXT(H34,"DDDD")</f>
        <v>Wednesday</v>
      </c>
      <c r="N138">
        <f t="shared" ref="N138:N169" ca="1" si="25">DATEDIF(I34,TODAY(),"Y")</f>
        <v>35</v>
      </c>
      <c r="O138">
        <f t="shared" ref="O138:O169" ca="1" si="26">DATEDIF(H34,TODAY(),"Y")</f>
        <v>0</v>
      </c>
    </row>
    <row r="139" spans="2:15" x14ac:dyDescent="0.25">
      <c r="B139" t="str">
        <f t="shared" si="14"/>
        <v>Michael  Okoro</v>
      </c>
      <c r="C139" t="str">
        <f t="shared" si="15"/>
        <v>michael.okoro@northstar-group.com</v>
      </c>
      <c r="D139" t="str">
        <f t="shared" si="17"/>
        <v>EMP034  Michael  Okoro</v>
      </c>
      <c r="E139" t="str">
        <f t="shared" si="18"/>
        <v>Michael  Okoro</v>
      </c>
      <c r="F139" t="str">
        <f t="shared" si="19"/>
        <v>EMP</v>
      </c>
      <c r="G139" t="str">
        <f t="shared" si="20"/>
        <v>034</v>
      </c>
      <c r="H139">
        <f t="shared" si="16"/>
        <v>14</v>
      </c>
      <c r="J139">
        <f t="shared" si="21"/>
        <v>2026</v>
      </c>
      <c r="K139">
        <f t="shared" si="22"/>
        <v>4</v>
      </c>
      <c r="L139" t="str">
        <f t="shared" si="23"/>
        <v>April</v>
      </c>
      <c r="M139" t="str">
        <f t="shared" si="24"/>
        <v>Friday</v>
      </c>
      <c r="N139">
        <f t="shared" ca="1" si="25"/>
        <v>23</v>
      </c>
      <c r="O139">
        <f t="shared" ca="1" si="26"/>
        <v>0</v>
      </c>
    </row>
    <row r="140" spans="2:15" x14ac:dyDescent="0.25">
      <c r="B140" t="str">
        <f t="shared" si="14"/>
        <v>Chiamaka  Ibrahim</v>
      </c>
      <c r="C140" t="str">
        <f t="shared" si="15"/>
        <v>chiamaka.ibrahim@northstar-group.com</v>
      </c>
      <c r="D140" t="str">
        <f t="shared" si="17"/>
        <v>EMP035  Chiamaka  Ibrahim</v>
      </c>
      <c r="E140" t="str">
        <f t="shared" si="18"/>
        <v>Chiamaka  Ibrahim</v>
      </c>
      <c r="F140" t="str">
        <f t="shared" si="19"/>
        <v>EMP</v>
      </c>
      <c r="G140" t="str">
        <f t="shared" si="20"/>
        <v>035</v>
      </c>
      <c r="H140">
        <f t="shared" si="16"/>
        <v>17</v>
      </c>
      <c r="J140">
        <f t="shared" si="21"/>
        <v>2022</v>
      </c>
      <c r="K140">
        <f t="shared" si="22"/>
        <v>10</v>
      </c>
      <c r="L140" t="str">
        <f t="shared" si="23"/>
        <v>October</v>
      </c>
      <c r="M140" t="str">
        <f t="shared" si="24"/>
        <v>Tuesday</v>
      </c>
      <c r="N140">
        <f t="shared" ca="1" si="25"/>
        <v>29</v>
      </c>
      <c r="O140">
        <f t="shared" ca="1" si="26"/>
        <v>3</v>
      </c>
    </row>
    <row r="141" spans="2:15" x14ac:dyDescent="0.25">
      <c r="B141" t="str">
        <f t="shared" si="14"/>
        <v>David  Adebayo</v>
      </c>
      <c r="C141" t="str">
        <f t="shared" si="15"/>
        <v>david.adebayo@northstar-group.com</v>
      </c>
      <c r="D141" t="str">
        <f t="shared" si="17"/>
        <v>EMP036  David  Adebayo</v>
      </c>
      <c r="E141" t="str">
        <f t="shared" si="18"/>
        <v>David  Adebayo</v>
      </c>
      <c r="F141" t="str">
        <f t="shared" si="19"/>
        <v>EMP</v>
      </c>
      <c r="G141" t="str">
        <f t="shared" si="20"/>
        <v>036</v>
      </c>
      <c r="H141">
        <f t="shared" si="16"/>
        <v>14</v>
      </c>
      <c r="J141">
        <f t="shared" si="21"/>
        <v>2022</v>
      </c>
      <c r="K141">
        <f t="shared" si="22"/>
        <v>7</v>
      </c>
      <c r="L141" t="str">
        <f t="shared" si="23"/>
        <v>July</v>
      </c>
      <c r="M141" t="str">
        <f t="shared" si="24"/>
        <v>Tuesday</v>
      </c>
      <c r="N141">
        <f t="shared" ca="1" si="25"/>
        <v>31</v>
      </c>
      <c r="O141">
        <f t="shared" ca="1" si="26"/>
        <v>4</v>
      </c>
    </row>
    <row r="142" spans="2:15" x14ac:dyDescent="0.25">
      <c r="B142" t="str">
        <f t="shared" si="14"/>
        <v>Sarah  Nwosu</v>
      </c>
      <c r="C142" t="str">
        <f t="shared" si="15"/>
        <v>sarah.nwosu@northstar-group.com</v>
      </c>
      <c r="D142" t="str">
        <f t="shared" si="17"/>
        <v>EMP037  Sarah  Nwosu</v>
      </c>
      <c r="E142" t="str">
        <f t="shared" si="18"/>
        <v>Sarah  Nwosu</v>
      </c>
      <c r="F142" t="str">
        <f t="shared" si="19"/>
        <v>EMP</v>
      </c>
      <c r="G142" t="str">
        <f t="shared" si="20"/>
        <v>037</v>
      </c>
      <c r="H142">
        <f t="shared" si="16"/>
        <v>12</v>
      </c>
      <c r="J142">
        <f t="shared" si="21"/>
        <v>2025</v>
      </c>
      <c r="K142">
        <f t="shared" si="22"/>
        <v>9</v>
      </c>
      <c r="L142" t="str">
        <f t="shared" si="23"/>
        <v>September</v>
      </c>
      <c r="M142" t="str">
        <f t="shared" si="24"/>
        <v>Monday</v>
      </c>
      <c r="N142">
        <f t="shared" ca="1" si="25"/>
        <v>23</v>
      </c>
      <c r="O142">
        <f t="shared" ca="1" si="26"/>
        <v>1</v>
      </c>
    </row>
    <row r="143" spans="2:15" x14ac:dyDescent="0.25">
      <c r="B143" t="str">
        <f t="shared" si="14"/>
        <v>James  Umeh</v>
      </c>
      <c r="C143" t="str">
        <f t="shared" si="15"/>
        <v>james.umeh@northstar-group.com</v>
      </c>
      <c r="D143" t="str">
        <f t="shared" si="17"/>
        <v>EMP038  James  Umeh</v>
      </c>
      <c r="E143" t="str">
        <f t="shared" si="18"/>
        <v>James  Umeh</v>
      </c>
      <c r="F143" t="str">
        <f t="shared" si="19"/>
        <v>EMP</v>
      </c>
      <c r="G143" t="str">
        <f t="shared" si="20"/>
        <v>038</v>
      </c>
      <c r="H143">
        <f t="shared" si="16"/>
        <v>11</v>
      </c>
      <c r="J143">
        <f t="shared" si="21"/>
        <v>2024</v>
      </c>
      <c r="K143">
        <f t="shared" si="22"/>
        <v>11</v>
      </c>
      <c r="L143" t="str">
        <f t="shared" si="23"/>
        <v>November</v>
      </c>
      <c r="M143" t="str">
        <f t="shared" si="24"/>
        <v>Tuesday</v>
      </c>
      <c r="N143">
        <f t="shared" ca="1" si="25"/>
        <v>26</v>
      </c>
      <c r="O143">
        <f t="shared" ca="1" si="26"/>
        <v>1</v>
      </c>
    </row>
    <row r="144" spans="2:15" x14ac:dyDescent="0.25">
      <c r="B144" t="str">
        <f t="shared" si="14"/>
        <v>Blessing  Smith</v>
      </c>
      <c r="C144" t="str">
        <f t="shared" si="15"/>
        <v>blessing.smith@northstar-group.com</v>
      </c>
      <c r="D144" t="str">
        <f t="shared" si="17"/>
        <v>EMP039  Blessing  Smith</v>
      </c>
      <c r="E144" t="str">
        <f t="shared" si="18"/>
        <v>Blessing  Smith</v>
      </c>
      <c r="F144" t="str">
        <f t="shared" si="19"/>
        <v>EMP</v>
      </c>
      <c r="G144" t="str">
        <f t="shared" si="20"/>
        <v>039</v>
      </c>
      <c r="H144">
        <f t="shared" si="16"/>
        <v>15</v>
      </c>
      <c r="J144">
        <f t="shared" si="21"/>
        <v>2026</v>
      </c>
      <c r="K144">
        <f t="shared" si="22"/>
        <v>1</v>
      </c>
      <c r="L144" t="str">
        <f t="shared" si="23"/>
        <v>January</v>
      </c>
      <c r="M144" t="str">
        <f t="shared" si="24"/>
        <v>Monday</v>
      </c>
      <c r="N144">
        <f t="shared" ca="1" si="25"/>
        <v>10</v>
      </c>
      <c r="O144">
        <f t="shared" ca="1" si="26"/>
        <v>0</v>
      </c>
    </row>
    <row r="145" spans="2:15" x14ac:dyDescent="0.25">
      <c r="B145" t="str">
        <f t="shared" si="14"/>
        <v>Victor  Williams</v>
      </c>
      <c r="C145" t="str">
        <f t="shared" si="15"/>
        <v>victor.williams@northstar-group.com</v>
      </c>
      <c r="D145" t="str">
        <f t="shared" si="17"/>
        <v>EMP040  Victor  Williams</v>
      </c>
      <c r="E145" t="str">
        <f t="shared" si="18"/>
        <v>Victor  Williams</v>
      </c>
      <c r="F145" t="str">
        <f t="shared" si="19"/>
        <v>EMP</v>
      </c>
      <c r="G145" t="str">
        <f t="shared" si="20"/>
        <v>040</v>
      </c>
      <c r="H145">
        <f t="shared" si="16"/>
        <v>16</v>
      </c>
      <c r="J145">
        <f t="shared" si="21"/>
        <v>2021</v>
      </c>
      <c r="K145">
        <f t="shared" si="22"/>
        <v>5</v>
      </c>
      <c r="L145" t="str">
        <f t="shared" si="23"/>
        <v>May</v>
      </c>
      <c r="M145" t="str">
        <f t="shared" si="24"/>
        <v>Sunday</v>
      </c>
      <c r="N145">
        <f t="shared" ca="1" si="25"/>
        <v>9</v>
      </c>
      <c r="O145">
        <f t="shared" ca="1" si="26"/>
        <v>5</v>
      </c>
    </row>
    <row r="146" spans="2:15" x14ac:dyDescent="0.25">
      <c r="B146" t="str">
        <f t="shared" si="14"/>
        <v>John  Johnson</v>
      </c>
      <c r="C146" t="str">
        <f t="shared" si="15"/>
        <v>john.johnson@northstar-group.com</v>
      </c>
      <c r="D146" t="str">
        <f t="shared" si="17"/>
        <v>EMP041  John  Johnson</v>
      </c>
      <c r="E146" t="str">
        <f t="shared" si="18"/>
        <v>John  Johnson</v>
      </c>
      <c r="F146" t="str">
        <f t="shared" si="19"/>
        <v>EMP</v>
      </c>
      <c r="G146" t="str">
        <f t="shared" si="20"/>
        <v>041</v>
      </c>
      <c r="H146">
        <f t="shared" si="16"/>
        <v>13</v>
      </c>
      <c r="J146">
        <f t="shared" si="21"/>
        <v>2024</v>
      </c>
      <c r="K146">
        <f t="shared" si="22"/>
        <v>4</v>
      </c>
      <c r="L146" t="str">
        <f t="shared" si="23"/>
        <v>April</v>
      </c>
      <c r="M146" t="str">
        <f t="shared" si="24"/>
        <v>Saturday</v>
      </c>
      <c r="N146">
        <f t="shared" ca="1" si="25"/>
        <v>11</v>
      </c>
      <c r="O146">
        <f t="shared" ca="1" si="26"/>
        <v>2</v>
      </c>
    </row>
    <row r="147" spans="2:15" x14ac:dyDescent="0.25">
      <c r="B147" t="str">
        <f t="shared" si="14"/>
        <v>Mary  Brown</v>
      </c>
      <c r="C147" t="str">
        <f t="shared" si="15"/>
        <v>mary.brown@northstar-group.com</v>
      </c>
      <c r="D147" t="str">
        <f t="shared" si="17"/>
        <v>EMP042  Mary  Brown</v>
      </c>
      <c r="E147" t="str">
        <f t="shared" si="18"/>
        <v>Mary  Brown</v>
      </c>
      <c r="F147" t="str">
        <f t="shared" si="19"/>
        <v>EMP</v>
      </c>
      <c r="G147" t="str">
        <f t="shared" si="20"/>
        <v>042</v>
      </c>
      <c r="H147">
        <f t="shared" si="16"/>
        <v>11</v>
      </c>
      <c r="J147">
        <f t="shared" si="21"/>
        <v>2026</v>
      </c>
      <c r="K147">
        <f t="shared" si="22"/>
        <v>7</v>
      </c>
      <c r="L147" t="str">
        <f t="shared" si="23"/>
        <v>July</v>
      </c>
      <c r="M147" t="str">
        <f t="shared" si="24"/>
        <v>Wednesday</v>
      </c>
      <c r="N147">
        <f t="shared" ca="1" si="25"/>
        <v>14</v>
      </c>
      <c r="O147">
        <f t="shared" ca="1" si="26"/>
        <v>0</v>
      </c>
    </row>
    <row r="148" spans="2:15" x14ac:dyDescent="0.25">
      <c r="B148" t="str">
        <f t="shared" si="14"/>
        <v>Peter  Okafor</v>
      </c>
      <c r="C148" t="str">
        <f t="shared" si="15"/>
        <v>peter.okafor@northstar-group.com</v>
      </c>
      <c r="D148" t="str">
        <f t="shared" si="17"/>
        <v>EMP043  Peter  Okafor</v>
      </c>
      <c r="E148" t="str">
        <f t="shared" si="18"/>
        <v>Peter  Okafor</v>
      </c>
      <c r="F148" t="str">
        <f t="shared" si="19"/>
        <v>EMP</v>
      </c>
      <c r="G148" t="str">
        <f t="shared" si="20"/>
        <v>043</v>
      </c>
      <c r="H148">
        <f t="shared" si="16"/>
        <v>13</v>
      </c>
      <c r="J148">
        <f t="shared" si="21"/>
        <v>2025</v>
      </c>
      <c r="K148">
        <f t="shared" si="22"/>
        <v>10</v>
      </c>
      <c r="L148" t="str">
        <f t="shared" si="23"/>
        <v>October</v>
      </c>
      <c r="M148" t="str">
        <f t="shared" si="24"/>
        <v>Friday</v>
      </c>
      <c r="N148">
        <f t="shared" ca="1" si="25"/>
        <v>11</v>
      </c>
      <c r="O148">
        <f t="shared" ca="1" si="26"/>
        <v>0</v>
      </c>
    </row>
    <row r="149" spans="2:15" x14ac:dyDescent="0.25">
      <c r="B149" t="str">
        <f t="shared" si="14"/>
        <v>Esther  Mensah</v>
      </c>
      <c r="C149" t="str">
        <f t="shared" si="15"/>
        <v>esther.mensah@northstar-group.com</v>
      </c>
      <c r="D149" t="str">
        <f t="shared" si="17"/>
        <v>EMP044  Esther  Mensah</v>
      </c>
      <c r="E149" t="str">
        <f t="shared" si="18"/>
        <v>Esther  Mensah</v>
      </c>
      <c r="F149" t="str">
        <f t="shared" si="19"/>
        <v>EMP</v>
      </c>
      <c r="G149" t="str">
        <f t="shared" si="20"/>
        <v>044</v>
      </c>
      <c r="H149">
        <f t="shared" si="16"/>
        <v>14</v>
      </c>
      <c r="J149">
        <f t="shared" si="21"/>
        <v>2020</v>
      </c>
      <c r="K149">
        <f t="shared" si="22"/>
        <v>7</v>
      </c>
      <c r="L149" t="str">
        <f t="shared" si="23"/>
        <v>July</v>
      </c>
      <c r="M149" t="str">
        <f t="shared" si="24"/>
        <v>Monday</v>
      </c>
      <c r="N149">
        <f t="shared" ca="1" si="25"/>
        <v>30</v>
      </c>
      <c r="O149">
        <f t="shared" ca="1" si="26"/>
        <v>6</v>
      </c>
    </row>
    <row r="150" spans="2:15" x14ac:dyDescent="0.25">
      <c r="B150" t="str">
        <f t="shared" si="14"/>
        <v>Ifeoma  Adeyemi</v>
      </c>
      <c r="C150" t="str">
        <f t="shared" si="15"/>
        <v>ifeoma.adeyemi@northstar-group.com</v>
      </c>
      <c r="D150" t="str">
        <f t="shared" si="17"/>
        <v>EMP045  Ifeoma  Adeyemi</v>
      </c>
      <c r="E150" t="str">
        <f t="shared" si="18"/>
        <v>Ifeoma  Adeyemi</v>
      </c>
      <c r="F150" t="str">
        <f t="shared" si="19"/>
        <v>EMP</v>
      </c>
      <c r="G150" t="str">
        <f t="shared" si="20"/>
        <v>045</v>
      </c>
      <c r="H150">
        <f t="shared" si="16"/>
        <v>15</v>
      </c>
      <c r="J150">
        <f t="shared" si="21"/>
        <v>2020</v>
      </c>
      <c r="K150">
        <f t="shared" si="22"/>
        <v>1</v>
      </c>
      <c r="L150" t="str">
        <f t="shared" si="23"/>
        <v>January</v>
      </c>
      <c r="M150" t="str">
        <f t="shared" si="24"/>
        <v>Tuesday</v>
      </c>
      <c r="N150">
        <f t="shared" ca="1" si="25"/>
        <v>36</v>
      </c>
      <c r="O150">
        <f t="shared" ca="1" si="26"/>
        <v>6</v>
      </c>
    </row>
    <row r="151" spans="2:15" x14ac:dyDescent="0.25">
      <c r="B151" t="str">
        <f t="shared" si="14"/>
        <v>Samuel  Bello</v>
      </c>
      <c r="C151" t="str">
        <f t="shared" si="15"/>
        <v>samuel.bello@northstar-group.com</v>
      </c>
      <c r="D151" t="str">
        <f t="shared" si="17"/>
        <v>EMP046  Samuel  Bello</v>
      </c>
      <c r="E151" t="str">
        <f t="shared" si="18"/>
        <v>Samuel  Bello</v>
      </c>
      <c r="F151" t="str">
        <f t="shared" si="19"/>
        <v>EMP</v>
      </c>
      <c r="G151" t="str">
        <f t="shared" si="20"/>
        <v>046</v>
      </c>
      <c r="H151">
        <f t="shared" si="16"/>
        <v>13</v>
      </c>
      <c r="J151">
        <f t="shared" si="21"/>
        <v>2025</v>
      </c>
      <c r="K151">
        <f t="shared" si="22"/>
        <v>2</v>
      </c>
      <c r="L151" t="str">
        <f t="shared" si="23"/>
        <v>February</v>
      </c>
      <c r="M151" t="str">
        <f t="shared" si="24"/>
        <v>Monday</v>
      </c>
      <c r="N151">
        <f t="shared" ca="1" si="25"/>
        <v>35</v>
      </c>
      <c r="O151">
        <f t="shared" ca="1" si="26"/>
        <v>1</v>
      </c>
    </row>
    <row r="152" spans="2:15" x14ac:dyDescent="0.25">
      <c r="B152" t="str">
        <f t="shared" si="14"/>
        <v>Ruth  Eze</v>
      </c>
      <c r="C152" t="str">
        <f t="shared" si="15"/>
        <v>ruth.eze@northstar-group.com</v>
      </c>
      <c r="D152" t="str">
        <f t="shared" si="17"/>
        <v>EMP047  Ruth  Eze</v>
      </c>
      <c r="E152" t="str">
        <f t="shared" si="18"/>
        <v>Ruth  Eze</v>
      </c>
      <c r="F152" t="str">
        <f t="shared" si="19"/>
        <v>EMP</v>
      </c>
      <c r="G152" t="str">
        <f t="shared" si="20"/>
        <v>047</v>
      </c>
      <c r="H152">
        <f t="shared" si="16"/>
        <v>9</v>
      </c>
      <c r="J152">
        <f t="shared" si="21"/>
        <v>2025</v>
      </c>
      <c r="K152">
        <f t="shared" si="22"/>
        <v>5</v>
      </c>
      <c r="L152" t="str">
        <f t="shared" si="23"/>
        <v>May</v>
      </c>
      <c r="M152" t="str">
        <f t="shared" si="24"/>
        <v>Saturday</v>
      </c>
      <c r="N152">
        <f t="shared" ca="1" si="25"/>
        <v>21</v>
      </c>
      <c r="O152">
        <f t="shared" ca="1" si="26"/>
        <v>1</v>
      </c>
    </row>
    <row r="153" spans="2:15" x14ac:dyDescent="0.25">
      <c r="B153" t="str">
        <f t="shared" si="14"/>
        <v>Emeka  Okoro</v>
      </c>
      <c r="C153" t="str">
        <f t="shared" si="15"/>
        <v>emeka.okoro@northstar-group.com</v>
      </c>
      <c r="D153" t="str">
        <f t="shared" si="17"/>
        <v>EMP048  Emeka  Okoro</v>
      </c>
      <c r="E153" t="str">
        <f t="shared" si="18"/>
        <v>Emeka  Okoro</v>
      </c>
      <c r="F153" t="str">
        <f t="shared" si="19"/>
        <v>EMP</v>
      </c>
      <c r="G153" t="str">
        <f t="shared" si="20"/>
        <v>048</v>
      </c>
      <c r="H153">
        <f t="shared" si="16"/>
        <v>12</v>
      </c>
      <c r="J153">
        <f t="shared" si="21"/>
        <v>2023</v>
      </c>
      <c r="K153">
        <f t="shared" si="22"/>
        <v>3</v>
      </c>
      <c r="L153" t="str">
        <f t="shared" si="23"/>
        <v>March</v>
      </c>
      <c r="M153" t="str">
        <f t="shared" si="24"/>
        <v>Tuesday</v>
      </c>
      <c r="N153">
        <f t="shared" ca="1" si="25"/>
        <v>31</v>
      </c>
      <c r="O153">
        <f t="shared" ca="1" si="26"/>
        <v>3</v>
      </c>
    </row>
    <row r="154" spans="2:15" x14ac:dyDescent="0.25">
      <c r="B154" t="str">
        <f t="shared" si="14"/>
        <v>Linda  Ibrahim</v>
      </c>
      <c r="C154" t="str">
        <f t="shared" si="15"/>
        <v>linda.ibrahim@northstar-group.com</v>
      </c>
      <c r="D154" t="str">
        <f t="shared" si="17"/>
        <v>EMP049  Linda  Ibrahim</v>
      </c>
      <c r="E154" t="str">
        <f t="shared" si="18"/>
        <v>Linda  Ibrahim</v>
      </c>
      <c r="F154" t="str">
        <f t="shared" si="19"/>
        <v>EMP</v>
      </c>
      <c r="G154" t="str">
        <f t="shared" si="20"/>
        <v>049</v>
      </c>
      <c r="H154">
        <f t="shared" si="16"/>
        <v>14</v>
      </c>
      <c r="J154">
        <f t="shared" si="21"/>
        <v>2024</v>
      </c>
      <c r="K154">
        <f t="shared" si="22"/>
        <v>8</v>
      </c>
      <c r="L154" t="str">
        <f t="shared" si="23"/>
        <v>August</v>
      </c>
      <c r="M154" t="str">
        <f t="shared" si="24"/>
        <v>Saturday</v>
      </c>
      <c r="N154">
        <f t="shared" ca="1" si="25"/>
        <v>23</v>
      </c>
      <c r="O154">
        <f t="shared" ca="1" si="26"/>
        <v>2</v>
      </c>
    </row>
    <row r="155" spans="2:15" x14ac:dyDescent="0.25">
      <c r="B155" t="str">
        <f t="shared" si="14"/>
        <v>Brian  Adebayo</v>
      </c>
      <c r="C155" t="str">
        <f t="shared" si="15"/>
        <v>brian.adebayo@northstar-group.com</v>
      </c>
      <c r="D155" t="str">
        <f t="shared" si="17"/>
        <v>EMP050  Brian  Adebayo</v>
      </c>
      <c r="E155" t="str">
        <f t="shared" si="18"/>
        <v>Brian  Adebayo</v>
      </c>
      <c r="F155" t="str">
        <f t="shared" si="19"/>
        <v>EMP</v>
      </c>
      <c r="G155" t="str">
        <f t="shared" si="20"/>
        <v>050</v>
      </c>
      <c r="H155">
        <f t="shared" si="16"/>
        <v>14</v>
      </c>
      <c r="J155">
        <f t="shared" si="21"/>
        <v>2024</v>
      </c>
      <c r="K155">
        <f t="shared" si="22"/>
        <v>4</v>
      </c>
      <c r="L155" t="str">
        <f t="shared" si="23"/>
        <v>April</v>
      </c>
      <c r="M155" t="str">
        <f t="shared" si="24"/>
        <v>Friday</v>
      </c>
      <c r="N155">
        <f t="shared" ca="1" si="25"/>
        <v>20</v>
      </c>
      <c r="O155">
        <f t="shared" ca="1" si="26"/>
        <v>2</v>
      </c>
    </row>
    <row r="156" spans="2:15" x14ac:dyDescent="0.25">
      <c r="B156" t="str">
        <f t="shared" si="14"/>
        <v>Tolu  Nwosu</v>
      </c>
      <c r="C156" t="str">
        <f t="shared" si="15"/>
        <v>tolu.nwosu@northstar-group.com</v>
      </c>
      <c r="D156" t="str">
        <f t="shared" si="17"/>
        <v>EMP051  Tolu  Nwosu</v>
      </c>
      <c r="E156" t="str">
        <f t="shared" si="18"/>
        <v>Tolu  Nwosu</v>
      </c>
      <c r="F156" t="str">
        <f t="shared" si="19"/>
        <v>EMP</v>
      </c>
      <c r="G156" t="str">
        <f t="shared" si="20"/>
        <v>051</v>
      </c>
      <c r="H156">
        <f t="shared" si="16"/>
        <v>11</v>
      </c>
      <c r="J156">
        <f t="shared" si="21"/>
        <v>2022</v>
      </c>
      <c r="K156">
        <f t="shared" si="22"/>
        <v>6</v>
      </c>
      <c r="L156" t="str">
        <f t="shared" si="23"/>
        <v>June</v>
      </c>
      <c r="M156" t="str">
        <f t="shared" si="24"/>
        <v>Wednesday</v>
      </c>
      <c r="N156">
        <f t="shared" ca="1" si="25"/>
        <v>29</v>
      </c>
      <c r="O156">
        <f t="shared" ca="1" si="26"/>
        <v>4</v>
      </c>
    </row>
    <row r="157" spans="2:15" x14ac:dyDescent="0.25">
      <c r="B157" t="str">
        <f t="shared" si="14"/>
        <v>Ngozi  Umeh</v>
      </c>
      <c r="C157" t="str">
        <f t="shared" si="15"/>
        <v>ngozi.umeh@northstar-group.com</v>
      </c>
      <c r="D157" t="str">
        <f t="shared" si="17"/>
        <v>EMP052  Ngozi  Umeh</v>
      </c>
      <c r="E157" t="str">
        <f t="shared" si="18"/>
        <v>Ngozi  Umeh</v>
      </c>
      <c r="F157" t="str">
        <f t="shared" si="19"/>
        <v>EMP</v>
      </c>
      <c r="G157" t="str">
        <f t="shared" si="20"/>
        <v>052</v>
      </c>
      <c r="H157">
        <f t="shared" si="16"/>
        <v>11</v>
      </c>
      <c r="J157">
        <f t="shared" si="21"/>
        <v>2020</v>
      </c>
      <c r="K157">
        <f t="shared" si="22"/>
        <v>4</v>
      </c>
      <c r="L157" t="str">
        <f t="shared" si="23"/>
        <v>April</v>
      </c>
      <c r="M157" t="str">
        <f t="shared" si="24"/>
        <v>Saturday</v>
      </c>
      <c r="N157">
        <f t="shared" ca="1" si="25"/>
        <v>24</v>
      </c>
      <c r="O157">
        <f t="shared" ca="1" si="26"/>
        <v>6</v>
      </c>
    </row>
    <row r="158" spans="2:15" x14ac:dyDescent="0.25">
      <c r="B158" t="str">
        <f t="shared" si="14"/>
        <v>Henry  Smith</v>
      </c>
      <c r="C158" t="str">
        <f t="shared" si="15"/>
        <v>henry.smith@northstar-group.com</v>
      </c>
      <c r="D158" t="str">
        <f t="shared" si="17"/>
        <v>EMP053  Henry  Smith</v>
      </c>
      <c r="E158" t="str">
        <f t="shared" si="18"/>
        <v>Henry  Smith</v>
      </c>
      <c r="F158" t="str">
        <f t="shared" si="19"/>
        <v>EMP</v>
      </c>
      <c r="G158" t="str">
        <f t="shared" si="20"/>
        <v>053</v>
      </c>
      <c r="H158">
        <f t="shared" si="16"/>
        <v>12</v>
      </c>
      <c r="J158">
        <f t="shared" si="21"/>
        <v>2024</v>
      </c>
      <c r="K158">
        <f t="shared" si="22"/>
        <v>4</v>
      </c>
      <c r="L158" t="str">
        <f t="shared" si="23"/>
        <v>April</v>
      </c>
      <c r="M158" t="str">
        <f t="shared" si="24"/>
        <v>Saturday</v>
      </c>
      <c r="N158">
        <f t="shared" ca="1" si="25"/>
        <v>27</v>
      </c>
      <c r="O158">
        <f t="shared" ca="1" si="26"/>
        <v>2</v>
      </c>
    </row>
    <row r="159" spans="2:15" x14ac:dyDescent="0.25">
      <c r="B159" t="str">
        <f t="shared" si="14"/>
        <v>Janet  Williams</v>
      </c>
      <c r="C159" t="str">
        <f t="shared" si="15"/>
        <v>janet.williams@northstar-group.com</v>
      </c>
      <c r="D159" t="str">
        <f t="shared" si="17"/>
        <v>EMP054  Janet  Williams</v>
      </c>
      <c r="E159" t="str">
        <f t="shared" si="18"/>
        <v>Janet  Williams</v>
      </c>
      <c r="F159" t="str">
        <f t="shared" si="19"/>
        <v>EMP</v>
      </c>
      <c r="G159" t="str">
        <f t="shared" si="20"/>
        <v>054</v>
      </c>
      <c r="H159">
        <f t="shared" si="16"/>
        <v>15</v>
      </c>
      <c r="J159">
        <f t="shared" si="21"/>
        <v>2026</v>
      </c>
      <c r="K159">
        <f t="shared" si="22"/>
        <v>1</v>
      </c>
      <c r="L159" t="str">
        <f t="shared" si="23"/>
        <v>January</v>
      </c>
      <c r="M159" t="str">
        <f t="shared" si="24"/>
        <v>Friday</v>
      </c>
      <c r="N159">
        <f t="shared" ca="1" si="25"/>
        <v>39</v>
      </c>
      <c r="O159">
        <f t="shared" ca="1" si="26"/>
        <v>0</v>
      </c>
    </row>
    <row r="160" spans="2:15" x14ac:dyDescent="0.25">
      <c r="B160" t="str">
        <f t="shared" si="14"/>
        <v>Paul  Johnson</v>
      </c>
      <c r="C160" t="str">
        <f t="shared" si="15"/>
        <v>paul.johnson@northstar-group.com</v>
      </c>
      <c r="D160" t="str">
        <f t="shared" si="17"/>
        <v>EMP055  Paul  Johnson</v>
      </c>
      <c r="E160" t="str">
        <f t="shared" si="18"/>
        <v>Paul  Johnson</v>
      </c>
      <c r="F160" t="str">
        <f t="shared" si="19"/>
        <v>EMP</v>
      </c>
      <c r="G160" t="str">
        <f t="shared" si="20"/>
        <v>055</v>
      </c>
      <c r="H160">
        <f t="shared" si="16"/>
        <v>13</v>
      </c>
      <c r="J160">
        <f t="shared" si="21"/>
        <v>2021</v>
      </c>
      <c r="K160">
        <f t="shared" si="22"/>
        <v>9</v>
      </c>
      <c r="L160" t="str">
        <f t="shared" si="23"/>
        <v>September</v>
      </c>
      <c r="M160" t="str">
        <f t="shared" si="24"/>
        <v>Tuesday</v>
      </c>
      <c r="N160">
        <f t="shared" ca="1" si="25"/>
        <v>31</v>
      </c>
      <c r="O160">
        <f t="shared" ca="1" si="26"/>
        <v>5</v>
      </c>
    </row>
    <row r="161" spans="2:15" x14ac:dyDescent="0.25">
      <c r="B161" t="str">
        <f t="shared" si="14"/>
        <v>Mercy  Brown</v>
      </c>
      <c r="C161" t="str">
        <f t="shared" si="15"/>
        <v>mercy.brown@northstar-group.com</v>
      </c>
      <c r="D161" t="str">
        <f t="shared" si="17"/>
        <v>EMP056  Mercy  Brown</v>
      </c>
      <c r="E161" t="str">
        <f t="shared" si="18"/>
        <v>Mercy  Brown</v>
      </c>
      <c r="F161" t="str">
        <f t="shared" si="19"/>
        <v>EMP</v>
      </c>
      <c r="G161" t="str">
        <f t="shared" si="20"/>
        <v>056</v>
      </c>
      <c r="H161">
        <f t="shared" si="16"/>
        <v>12</v>
      </c>
      <c r="J161">
        <f t="shared" si="21"/>
        <v>2021</v>
      </c>
      <c r="K161">
        <f t="shared" si="22"/>
        <v>4</v>
      </c>
      <c r="L161" t="str">
        <f t="shared" si="23"/>
        <v>April</v>
      </c>
      <c r="M161" t="str">
        <f t="shared" si="24"/>
        <v>Monday</v>
      </c>
      <c r="N161">
        <f t="shared" ca="1" si="25"/>
        <v>34</v>
      </c>
      <c r="O161">
        <f t="shared" ca="1" si="26"/>
        <v>5</v>
      </c>
    </row>
    <row r="162" spans="2:15" x14ac:dyDescent="0.25">
      <c r="B162" t="str">
        <f t="shared" si="14"/>
        <v>Kevin  Okafor</v>
      </c>
      <c r="C162" t="str">
        <f t="shared" si="15"/>
        <v>kevin.okafor@northstar-group.com</v>
      </c>
      <c r="D162" t="str">
        <f t="shared" si="17"/>
        <v>EMP057  Kevin  Okafor</v>
      </c>
      <c r="E162" t="str">
        <f t="shared" si="18"/>
        <v>Kevin  Okafor</v>
      </c>
      <c r="F162" t="str">
        <f t="shared" si="19"/>
        <v>EMP</v>
      </c>
      <c r="G162" t="str">
        <f t="shared" si="20"/>
        <v>057</v>
      </c>
      <c r="H162">
        <f t="shared" si="16"/>
        <v>13</v>
      </c>
      <c r="J162">
        <f t="shared" si="21"/>
        <v>2022</v>
      </c>
      <c r="K162">
        <f t="shared" si="22"/>
        <v>9</v>
      </c>
      <c r="L162" t="str">
        <f t="shared" si="23"/>
        <v>September</v>
      </c>
      <c r="M162" t="str">
        <f t="shared" si="24"/>
        <v>Monday</v>
      </c>
      <c r="N162">
        <f t="shared" ca="1" si="25"/>
        <v>37</v>
      </c>
      <c r="O162">
        <f t="shared" ca="1" si="26"/>
        <v>3</v>
      </c>
    </row>
    <row r="163" spans="2:15" x14ac:dyDescent="0.25">
      <c r="B163" t="str">
        <f t="shared" si="14"/>
        <v>Ada  Mensah</v>
      </c>
      <c r="C163" t="str">
        <f t="shared" si="15"/>
        <v>ada.mensah@northstar-group.com</v>
      </c>
      <c r="D163" t="str">
        <f t="shared" si="17"/>
        <v>EMP058  Ada  Mensah</v>
      </c>
      <c r="E163" t="str">
        <f t="shared" si="18"/>
        <v>Ada  Mensah</v>
      </c>
      <c r="F163" t="str">
        <f t="shared" si="19"/>
        <v>EMP</v>
      </c>
      <c r="G163" t="str">
        <f t="shared" si="20"/>
        <v>058</v>
      </c>
      <c r="H163">
        <f t="shared" si="16"/>
        <v>11</v>
      </c>
      <c r="J163">
        <f t="shared" si="21"/>
        <v>2025</v>
      </c>
      <c r="K163">
        <f t="shared" si="22"/>
        <v>9</v>
      </c>
      <c r="L163" t="str">
        <f t="shared" si="23"/>
        <v>September</v>
      </c>
      <c r="M163" t="str">
        <f t="shared" si="24"/>
        <v>Monday</v>
      </c>
      <c r="N163">
        <f t="shared" ca="1" si="25"/>
        <v>12</v>
      </c>
      <c r="O163">
        <f t="shared" ca="1" si="26"/>
        <v>1</v>
      </c>
    </row>
    <row r="164" spans="2:15" x14ac:dyDescent="0.25">
      <c r="B164" t="str">
        <f t="shared" si="14"/>
        <v>Joseph  Adeyemi</v>
      </c>
      <c r="C164" t="str">
        <f t="shared" si="15"/>
        <v>joseph.adeyemi@northstar-group.com</v>
      </c>
      <c r="D164" t="str">
        <f t="shared" si="17"/>
        <v>EMP059  Joseph  Adeyemi</v>
      </c>
      <c r="E164" t="str">
        <f t="shared" si="18"/>
        <v>Joseph  Adeyemi</v>
      </c>
      <c r="F164" t="str">
        <f t="shared" si="19"/>
        <v>EMP</v>
      </c>
      <c r="G164" t="str">
        <f t="shared" si="20"/>
        <v>059</v>
      </c>
      <c r="H164">
        <f t="shared" si="16"/>
        <v>15</v>
      </c>
      <c r="J164">
        <f t="shared" si="21"/>
        <v>2021</v>
      </c>
      <c r="K164">
        <f t="shared" si="22"/>
        <v>12</v>
      </c>
      <c r="L164" t="str">
        <f t="shared" si="23"/>
        <v>December</v>
      </c>
      <c r="M164" t="str">
        <f t="shared" si="24"/>
        <v>Monday</v>
      </c>
      <c r="N164">
        <f t="shared" ca="1" si="25"/>
        <v>18</v>
      </c>
      <c r="O164">
        <f t="shared" ca="1" si="26"/>
        <v>4</v>
      </c>
    </row>
    <row r="165" spans="2:15" x14ac:dyDescent="0.25">
      <c r="B165" t="str">
        <f t="shared" si="14"/>
        <v>Rose  Bello</v>
      </c>
      <c r="C165" t="str">
        <f t="shared" si="15"/>
        <v>rose.bello@northstar-group.com</v>
      </c>
      <c r="D165" t="str">
        <f t="shared" si="17"/>
        <v>EMP060  Rose  Bello</v>
      </c>
      <c r="E165" t="str">
        <f t="shared" si="18"/>
        <v>Rose  Bello</v>
      </c>
      <c r="F165" t="str">
        <f t="shared" si="19"/>
        <v>EMP</v>
      </c>
      <c r="G165" t="str">
        <f t="shared" si="20"/>
        <v>060</v>
      </c>
      <c r="H165">
        <f t="shared" si="16"/>
        <v>11</v>
      </c>
      <c r="J165">
        <f t="shared" si="21"/>
        <v>2023</v>
      </c>
      <c r="K165">
        <f t="shared" si="22"/>
        <v>2</v>
      </c>
      <c r="L165" t="str">
        <f t="shared" si="23"/>
        <v>February</v>
      </c>
      <c r="M165" t="str">
        <f t="shared" si="24"/>
        <v>Tuesday</v>
      </c>
      <c r="N165">
        <f t="shared" ca="1" si="25"/>
        <v>21</v>
      </c>
      <c r="O165">
        <f t="shared" ca="1" si="26"/>
        <v>3</v>
      </c>
    </row>
    <row r="166" spans="2:15" x14ac:dyDescent="0.25">
      <c r="B166" t="str">
        <f t="shared" si="14"/>
        <v>Aisha  Eze</v>
      </c>
      <c r="C166" t="str">
        <f t="shared" si="15"/>
        <v>aisha.eze@northstar-group.com</v>
      </c>
      <c r="D166" t="str">
        <f t="shared" si="17"/>
        <v>EMP061  Aisha  Eze</v>
      </c>
      <c r="E166" t="str">
        <f t="shared" si="18"/>
        <v>Aisha  Eze</v>
      </c>
      <c r="F166" t="str">
        <f t="shared" si="19"/>
        <v>EMP</v>
      </c>
      <c r="G166" t="str">
        <f t="shared" si="20"/>
        <v>061</v>
      </c>
      <c r="H166">
        <f t="shared" si="16"/>
        <v>10</v>
      </c>
      <c r="J166">
        <f t="shared" si="21"/>
        <v>2023</v>
      </c>
      <c r="K166">
        <f t="shared" si="22"/>
        <v>12</v>
      </c>
      <c r="L166" t="str">
        <f t="shared" si="23"/>
        <v>December</v>
      </c>
      <c r="M166" t="str">
        <f t="shared" si="24"/>
        <v>Friday</v>
      </c>
      <c r="N166">
        <f t="shared" ca="1" si="25"/>
        <v>30</v>
      </c>
      <c r="O166">
        <f t="shared" ca="1" si="26"/>
        <v>2</v>
      </c>
    </row>
    <row r="167" spans="2:15" x14ac:dyDescent="0.25">
      <c r="B167" t="str">
        <f t="shared" si="14"/>
        <v>Daniel  Okoro</v>
      </c>
      <c r="C167" t="str">
        <f t="shared" si="15"/>
        <v>daniel.okoro@northstar-group.com</v>
      </c>
      <c r="D167" t="str">
        <f t="shared" si="17"/>
        <v>EMP062  Daniel  Okoro</v>
      </c>
      <c r="E167" t="str">
        <f t="shared" si="18"/>
        <v>Daniel  Okoro</v>
      </c>
      <c r="F167" t="str">
        <f t="shared" si="19"/>
        <v>EMP</v>
      </c>
      <c r="G167" t="str">
        <f t="shared" si="20"/>
        <v>062</v>
      </c>
      <c r="H167">
        <f t="shared" si="16"/>
        <v>13</v>
      </c>
      <c r="J167">
        <f t="shared" si="21"/>
        <v>2024</v>
      </c>
      <c r="K167">
        <f t="shared" si="22"/>
        <v>7</v>
      </c>
      <c r="L167" t="str">
        <f t="shared" si="23"/>
        <v>July</v>
      </c>
      <c r="M167" t="str">
        <f t="shared" si="24"/>
        <v>Saturday</v>
      </c>
      <c r="N167">
        <f t="shared" ca="1" si="25"/>
        <v>19</v>
      </c>
      <c r="O167">
        <f t="shared" ca="1" si="26"/>
        <v>2</v>
      </c>
    </row>
    <row r="168" spans="2:15" x14ac:dyDescent="0.25">
      <c r="B168" t="str">
        <f t="shared" si="14"/>
        <v>Grace  Ibrahim</v>
      </c>
      <c r="C168" t="str">
        <f t="shared" si="15"/>
        <v>grace.ibrahim@northstar-group.com</v>
      </c>
      <c r="D168" t="str">
        <f t="shared" si="17"/>
        <v>EMP063  Grace  Ibrahim</v>
      </c>
      <c r="E168" t="str">
        <f t="shared" si="18"/>
        <v>Grace  Ibrahim</v>
      </c>
      <c r="F168" t="str">
        <f t="shared" si="19"/>
        <v>EMP</v>
      </c>
      <c r="G168" t="str">
        <f t="shared" si="20"/>
        <v>063</v>
      </c>
      <c r="H168">
        <f t="shared" si="16"/>
        <v>14</v>
      </c>
      <c r="J168">
        <f t="shared" si="21"/>
        <v>2022</v>
      </c>
      <c r="K168">
        <f t="shared" si="22"/>
        <v>7</v>
      </c>
      <c r="L168" t="str">
        <f t="shared" si="23"/>
        <v>July</v>
      </c>
      <c r="M168" t="str">
        <f t="shared" si="24"/>
        <v>Friday</v>
      </c>
      <c r="N168">
        <f t="shared" ca="1" si="25"/>
        <v>23</v>
      </c>
      <c r="O168">
        <f t="shared" ca="1" si="26"/>
        <v>4</v>
      </c>
    </row>
    <row r="169" spans="2:15" x14ac:dyDescent="0.25">
      <c r="B169" t="str">
        <f t="shared" si="14"/>
        <v>Michael  Adebayo</v>
      </c>
      <c r="C169" t="str">
        <f t="shared" si="15"/>
        <v>michael.adebayo@northstar-group.com</v>
      </c>
      <c r="D169" t="str">
        <f t="shared" si="17"/>
        <v>EMP064  Michael  Adebayo</v>
      </c>
      <c r="E169" t="str">
        <f t="shared" si="18"/>
        <v>Michael  Adebayo</v>
      </c>
      <c r="F169" t="str">
        <f t="shared" si="19"/>
        <v>EMP</v>
      </c>
      <c r="G169" t="str">
        <f t="shared" si="20"/>
        <v>064</v>
      </c>
      <c r="H169">
        <f t="shared" si="16"/>
        <v>16</v>
      </c>
      <c r="J169">
        <f t="shared" si="21"/>
        <v>2023</v>
      </c>
      <c r="K169">
        <f t="shared" si="22"/>
        <v>12</v>
      </c>
      <c r="L169" t="str">
        <f t="shared" si="23"/>
        <v>December</v>
      </c>
      <c r="M169" t="str">
        <f t="shared" si="24"/>
        <v>Sunday</v>
      </c>
      <c r="N169">
        <f t="shared" ca="1" si="25"/>
        <v>10</v>
      </c>
      <c r="O169">
        <f t="shared" ca="1" si="26"/>
        <v>2</v>
      </c>
    </row>
    <row r="170" spans="2:15" x14ac:dyDescent="0.25">
      <c r="B170" t="str">
        <f t="shared" si="14"/>
        <v>Chiamaka  Nwosu</v>
      </c>
      <c r="C170" t="str">
        <f t="shared" si="15"/>
        <v>chiamaka.nwosu@northstar-group.com</v>
      </c>
      <c r="D170" t="str">
        <f t="shared" ref="D170:D201" si="27">_xlfn.CONCAT(A66,"  ",B170)</f>
        <v>EMP065  Chiamaka  Nwosu</v>
      </c>
      <c r="E170" t="str">
        <f t="shared" ref="E170:E205" si="28">PROPER(B170)</f>
        <v>Chiamaka  Nwosu</v>
      </c>
      <c r="F170" t="str">
        <f t="shared" ref="F170:F201" si="29">LEFT(A66,3)</f>
        <v>EMP</v>
      </c>
      <c r="G170" t="str">
        <f t="shared" ref="G170:G201" si="30">RIGHT(A66,3)</f>
        <v>065</v>
      </c>
      <c r="H170">
        <f t="shared" si="16"/>
        <v>15</v>
      </c>
      <c r="J170">
        <f t="shared" ref="J170:J201" si="31">YEAR(H66)</f>
        <v>2022</v>
      </c>
      <c r="K170">
        <f t="shared" ref="K170:K201" si="32">MONTH(H66)</f>
        <v>2</v>
      </c>
      <c r="L170" t="str">
        <f t="shared" ref="L170:L201" si="33">TEXT(H66,"MMMM")</f>
        <v>February</v>
      </c>
      <c r="M170" t="str">
        <f t="shared" ref="M170:M201" si="34">TEXT(H66,"DDDD")</f>
        <v>Wednesday</v>
      </c>
      <c r="N170">
        <f t="shared" ref="N170:N201" ca="1" si="35">DATEDIF(I66,TODAY(),"Y")</f>
        <v>33</v>
      </c>
      <c r="O170">
        <f t="shared" ref="O170:O201" ca="1" si="36">DATEDIF(H66,TODAY(),"Y")</f>
        <v>4</v>
      </c>
    </row>
    <row r="171" spans="2:15" x14ac:dyDescent="0.25">
      <c r="B171" t="str">
        <f t="shared" ref="B171:B205" si="37">_xlfn.CONCAT(B67,"  ",C67)</f>
        <v>David  Umeh</v>
      </c>
      <c r="C171" t="str">
        <f t="shared" ref="C171:C205" si="38">LOWER(D67)</f>
        <v>david.umeh@northstar-group.com</v>
      </c>
      <c r="D171" t="str">
        <f t="shared" si="27"/>
        <v>EMP066  David  Umeh</v>
      </c>
      <c r="E171" t="str">
        <f t="shared" si="28"/>
        <v>David  Umeh</v>
      </c>
      <c r="F171" t="str">
        <f t="shared" si="29"/>
        <v>EMP</v>
      </c>
      <c r="G171" t="str">
        <f t="shared" si="30"/>
        <v>066</v>
      </c>
      <c r="H171">
        <f t="shared" ref="H171:H205" si="39">LEN(E171)</f>
        <v>11</v>
      </c>
      <c r="J171">
        <f t="shared" si="31"/>
        <v>2020</v>
      </c>
      <c r="K171">
        <f t="shared" si="32"/>
        <v>3</v>
      </c>
      <c r="L171" t="str">
        <f t="shared" si="33"/>
        <v>March</v>
      </c>
      <c r="M171" t="str">
        <f t="shared" si="34"/>
        <v>Tuesday</v>
      </c>
      <c r="N171">
        <f t="shared" ca="1" si="35"/>
        <v>9</v>
      </c>
      <c r="O171">
        <f t="shared" ca="1" si="36"/>
        <v>6</v>
      </c>
    </row>
    <row r="172" spans="2:15" x14ac:dyDescent="0.25">
      <c r="B172" t="str">
        <f t="shared" si="37"/>
        <v>Sarah  Smith</v>
      </c>
      <c r="C172" t="str">
        <f t="shared" si="38"/>
        <v>sarah.smith@northstar-group.com</v>
      </c>
      <c r="D172" t="str">
        <f t="shared" si="27"/>
        <v>EMP067  Sarah  Smith</v>
      </c>
      <c r="E172" t="str">
        <f t="shared" si="28"/>
        <v>Sarah  Smith</v>
      </c>
      <c r="F172" t="str">
        <f t="shared" si="29"/>
        <v>EMP</v>
      </c>
      <c r="G172" t="str">
        <f t="shared" si="30"/>
        <v>067</v>
      </c>
      <c r="H172">
        <f t="shared" si="39"/>
        <v>12</v>
      </c>
      <c r="J172">
        <f t="shared" si="31"/>
        <v>2020</v>
      </c>
      <c r="K172">
        <f t="shared" si="32"/>
        <v>2</v>
      </c>
      <c r="L172" t="str">
        <f t="shared" si="33"/>
        <v>February</v>
      </c>
      <c r="M172" t="str">
        <f t="shared" si="34"/>
        <v>Tuesday</v>
      </c>
      <c r="N172">
        <f t="shared" ca="1" si="35"/>
        <v>15</v>
      </c>
      <c r="O172">
        <f t="shared" ca="1" si="36"/>
        <v>6</v>
      </c>
    </row>
    <row r="173" spans="2:15" x14ac:dyDescent="0.25">
      <c r="B173" t="str">
        <f t="shared" si="37"/>
        <v>James  Williams</v>
      </c>
      <c r="C173" t="str">
        <f t="shared" si="38"/>
        <v>james.williams@northstar-group.com</v>
      </c>
      <c r="D173" t="str">
        <f t="shared" si="27"/>
        <v>EMP068  James  Williams</v>
      </c>
      <c r="E173" t="str">
        <f t="shared" si="28"/>
        <v>James  Williams</v>
      </c>
      <c r="F173" t="str">
        <f t="shared" si="29"/>
        <v>EMP</v>
      </c>
      <c r="G173" t="str">
        <f t="shared" si="30"/>
        <v>068</v>
      </c>
      <c r="H173">
        <f t="shared" si="39"/>
        <v>15</v>
      </c>
      <c r="J173">
        <f t="shared" si="31"/>
        <v>2024</v>
      </c>
      <c r="K173">
        <f t="shared" si="32"/>
        <v>7</v>
      </c>
      <c r="L173" t="str">
        <f t="shared" si="33"/>
        <v>July</v>
      </c>
      <c r="M173" t="str">
        <f t="shared" si="34"/>
        <v>Thursday</v>
      </c>
      <c r="N173">
        <f t="shared" ca="1" si="35"/>
        <v>19</v>
      </c>
      <c r="O173">
        <f t="shared" ca="1" si="36"/>
        <v>2</v>
      </c>
    </row>
    <row r="174" spans="2:15" x14ac:dyDescent="0.25">
      <c r="B174" t="str">
        <f t="shared" si="37"/>
        <v>Blessing  Johnson</v>
      </c>
      <c r="C174" t="str">
        <f t="shared" si="38"/>
        <v>blessing.johnson@northstar-group.com</v>
      </c>
      <c r="D174" t="str">
        <f t="shared" si="27"/>
        <v>EMP069  Blessing  Johnson</v>
      </c>
      <c r="E174" t="str">
        <f t="shared" si="28"/>
        <v>Blessing  Johnson</v>
      </c>
      <c r="F174" t="str">
        <f t="shared" si="29"/>
        <v>EMP</v>
      </c>
      <c r="G174" t="str">
        <f t="shared" si="30"/>
        <v>069</v>
      </c>
      <c r="H174">
        <f t="shared" si="39"/>
        <v>17</v>
      </c>
      <c r="J174">
        <f t="shared" si="31"/>
        <v>2026</v>
      </c>
      <c r="K174">
        <f t="shared" si="32"/>
        <v>4</v>
      </c>
      <c r="L174" t="str">
        <f t="shared" si="33"/>
        <v>April</v>
      </c>
      <c r="M174" t="str">
        <f t="shared" si="34"/>
        <v>Thursday</v>
      </c>
      <c r="N174">
        <f t="shared" ca="1" si="35"/>
        <v>23</v>
      </c>
      <c r="O174">
        <f t="shared" ca="1" si="36"/>
        <v>0</v>
      </c>
    </row>
    <row r="175" spans="2:15" x14ac:dyDescent="0.25">
      <c r="B175" t="str">
        <f t="shared" si="37"/>
        <v>Victor  Brown</v>
      </c>
      <c r="C175" t="str">
        <f t="shared" si="38"/>
        <v>victor.brown@northstar-group.com</v>
      </c>
      <c r="D175" t="str">
        <f t="shared" si="27"/>
        <v>EMP070  Victor  Brown</v>
      </c>
      <c r="E175" t="str">
        <f t="shared" si="28"/>
        <v>Victor  Brown</v>
      </c>
      <c r="F175" t="str">
        <f t="shared" si="29"/>
        <v>EMP</v>
      </c>
      <c r="G175" t="str">
        <f t="shared" si="30"/>
        <v>070</v>
      </c>
      <c r="H175">
        <f t="shared" si="39"/>
        <v>13</v>
      </c>
      <c r="J175">
        <f t="shared" si="31"/>
        <v>2023</v>
      </c>
      <c r="K175">
        <f t="shared" si="32"/>
        <v>6</v>
      </c>
      <c r="L175" t="str">
        <f t="shared" si="33"/>
        <v>June</v>
      </c>
      <c r="M175" t="str">
        <f t="shared" si="34"/>
        <v>Friday</v>
      </c>
      <c r="N175">
        <f t="shared" ca="1" si="35"/>
        <v>16</v>
      </c>
      <c r="O175">
        <f t="shared" ca="1" si="36"/>
        <v>3</v>
      </c>
    </row>
    <row r="176" spans="2:15" x14ac:dyDescent="0.25">
      <c r="B176" t="str">
        <f t="shared" si="37"/>
        <v>John  Okafor</v>
      </c>
      <c r="C176" t="str">
        <f t="shared" si="38"/>
        <v>john.okafor@northstar-group.com</v>
      </c>
      <c r="D176" t="str">
        <f t="shared" si="27"/>
        <v>EMP071  John  Okafor</v>
      </c>
      <c r="E176" t="str">
        <f t="shared" si="28"/>
        <v>John  Okafor</v>
      </c>
      <c r="F176" t="str">
        <f t="shared" si="29"/>
        <v>EMP</v>
      </c>
      <c r="G176" t="str">
        <f t="shared" si="30"/>
        <v>071</v>
      </c>
      <c r="H176">
        <f t="shared" si="39"/>
        <v>12</v>
      </c>
      <c r="J176">
        <f t="shared" si="31"/>
        <v>2021</v>
      </c>
      <c r="K176">
        <f t="shared" si="32"/>
        <v>12</v>
      </c>
      <c r="L176" t="str">
        <f t="shared" si="33"/>
        <v>December</v>
      </c>
      <c r="M176" t="str">
        <f t="shared" si="34"/>
        <v>Friday</v>
      </c>
      <c r="N176">
        <f t="shared" ca="1" si="35"/>
        <v>16</v>
      </c>
      <c r="O176">
        <f t="shared" ca="1" si="36"/>
        <v>4</v>
      </c>
    </row>
    <row r="177" spans="2:15" x14ac:dyDescent="0.25">
      <c r="B177" t="str">
        <f t="shared" si="37"/>
        <v>Mary  Mensah</v>
      </c>
      <c r="C177" t="str">
        <f t="shared" si="38"/>
        <v>mary.mensah@northstar-group.com</v>
      </c>
      <c r="D177" t="str">
        <f t="shared" si="27"/>
        <v>EMP072  Mary  Mensah</v>
      </c>
      <c r="E177" t="str">
        <f t="shared" si="28"/>
        <v>Mary  Mensah</v>
      </c>
      <c r="F177" t="str">
        <f t="shared" si="29"/>
        <v>EMP</v>
      </c>
      <c r="G177" t="str">
        <f t="shared" si="30"/>
        <v>072</v>
      </c>
      <c r="H177">
        <f t="shared" si="39"/>
        <v>12</v>
      </c>
      <c r="J177">
        <f t="shared" si="31"/>
        <v>2023</v>
      </c>
      <c r="K177">
        <f t="shared" si="32"/>
        <v>3</v>
      </c>
      <c r="L177" t="str">
        <f t="shared" si="33"/>
        <v>March</v>
      </c>
      <c r="M177" t="str">
        <f t="shared" si="34"/>
        <v>Thursday</v>
      </c>
      <c r="N177">
        <f t="shared" ca="1" si="35"/>
        <v>10</v>
      </c>
      <c r="O177">
        <f t="shared" ca="1" si="36"/>
        <v>3</v>
      </c>
    </row>
    <row r="178" spans="2:15" x14ac:dyDescent="0.25">
      <c r="B178" t="str">
        <f t="shared" si="37"/>
        <v>Peter  Adeyemi</v>
      </c>
      <c r="C178" t="str">
        <f t="shared" si="38"/>
        <v>peter.adeyemi@northstar-group.com</v>
      </c>
      <c r="D178" t="str">
        <f t="shared" si="27"/>
        <v>EMP073  Peter  Adeyemi</v>
      </c>
      <c r="E178" t="str">
        <f t="shared" si="28"/>
        <v>Peter  Adeyemi</v>
      </c>
      <c r="F178" t="str">
        <f t="shared" si="29"/>
        <v>EMP</v>
      </c>
      <c r="G178" t="str">
        <f t="shared" si="30"/>
        <v>073</v>
      </c>
      <c r="H178">
        <f t="shared" si="39"/>
        <v>14</v>
      </c>
      <c r="J178">
        <f t="shared" si="31"/>
        <v>2021</v>
      </c>
      <c r="K178">
        <f t="shared" si="32"/>
        <v>9</v>
      </c>
      <c r="L178" t="str">
        <f t="shared" si="33"/>
        <v>September</v>
      </c>
      <c r="M178" t="str">
        <f t="shared" si="34"/>
        <v>Tuesday</v>
      </c>
      <c r="N178">
        <f t="shared" ca="1" si="35"/>
        <v>29</v>
      </c>
      <c r="O178">
        <f t="shared" ca="1" si="36"/>
        <v>5</v>
      </c>
    </row>
    <row r="179" spans="2:15" x14ac:dyDescent="0.25">
      <c r="B179" t="str">
        <f t="shared" si="37"/>
        <v>Esther  Bello</v>
      </c>
      <c r="C179" t="str">
        <f t="shared" si="38"/>
        <v>esther.bello@northstar-group.com</v>
      </c>
      <c r="D179" t="str">
        <f t="shared" si="27"/>
        <v>EMP074  Esther  Bello</v>
      </c>
      <c r="E179" t="str">
        <f t="shared" si="28"/>
        <v>Esther  Bello</v>
      </c>
      <c r="F179" t="str">
        <f t="shared" si="29"/>
        <v>EMP</v>
      </c>
      <c r="G179" t="str">
        <f t="shared" si="30"/>
        <v>074</v>
      </c>
      <c r="H179">
        <f t="shared" si="39"/>
        <v>13</v>
      </c>
      <c r="J179">
        <f t="shared" si="31"/>
        <v>2023</v>
      </c>
      <c r="K179">
        <f t="shared" si="32"/>
        <v>6</v>
      </c>
      <c r="L179" t="str">
        <f t="shared" si="33"/>
        <v>June</v>
      </c>
      <c r="M179" t="str">
        <f t="shared" si="34"/>
        <v>Sunday</v>
      </c>
      <c r="N179">
        <f t="shared" ca="1" si="35"/>
        <v>10</v>
      </c>
      <c r="O179">
        <f t="shared" ca="1" si="36"/>
        <v>3</v>
      </c>
    </row>
    <row r="180" spans="2:15" x14ac:dyDescent="0.25">
      <c r="B180" t="str">
        <f t="shared" si="37"/>
        <v>Ifeoma  Eze</v>
      </c>
      <c r="C180" t="str">
        <f t="shared" si="38"/>
        <v>ifeoma.eze@northstar-group.com</v>
      </c>
      <c r="D180" t="str">
        <f t="shared" si="27"/>
        <v>EMP075  Ifeoma  Eze</v>
      </c>
      <c r="E180" t="str">
        <f t="shared" si="28"/>
        <v>Ifeoma  Eze</v>
      </c>
      <c r="F180" t="str">
        <f t="shared" si="29"/>
        <v>EMP</v>
      </c>
      <c r="G180" t="str">
        <f t="shared" si="30"/>
        <v>075</v>
      </c>
      <c r="H180">
        <f t="shared" si="39"/>
        <v>11</v>
      </c>
      <c r="J180">
        <f t="shared" si="31"/>
        <v>2022</v>
      </c>
      <c r="K180">
        <f t="shared" si="32"/>
        <v>10</v>
      </c>
      <c r="L180" t="str">
        <f t="shared" si="33"/>
        <v>October</v>
      </c>
      <c r="M180" t="str">
        <f t="shared" si="34"/>
        <v>Thursday</v>
      </c>
      <c r="N180">
        <f t="shared" ca="1" si="35"/>
        <v>40</v>
      </c>
      <c r="O180">
        <f t="shared" ca="1" si="36"/>
        <v>3</v>
      </c>
    </row>
    <row r="181" spans="2:15" x14ac:dyDescent="0.25">
      <c r="B181" t="str">
        <f t="shared" si="37"/>
        <v>Samuel  Okoro</v>
      </c>
      <c r="C181" t="str">
        <f t="shared" si="38"/>
        <v>samuel.okoro@northstar-group.com</v>
      </c>
      <c r="D181" t="str">
        <f t="shared" si="27"/>
        <v>EMP076  Samuel  Okoro</v>
      </c>
      <c r="E181" t="str">
        <f t="shared" si="28"/>
        <v>Samuel  Okoro</v>
      </c>
      <c r="F181" t="str">
        <f t="shared" si="29"/>
        <v>EMP</v>
      </c>
      <c r="G181" t="str">
        <f t="shared" si="30"/>
        <v>076</v>
      </c>
      <c r="H181">
        <f t="shared" si="39"/>
        <v>13</v>
      </c>
      <c r="J181">
        <f t="shared" si="31"/>
        <v>2024</v>
      </c>
      <c r="K181">
        <f t="shared" si="32"/>
        <v>12</v>
      </c>
      <c r="L181" t="str">
        <f t="shared" si="33"/>
        <v>December</v>
      </c>
      <c r="M181" t="str">
        <f t="shared" si="34"/>
        <v>Saturday</v>
      </c>
      <c r="N181">
        <f t="shared" ca="1" si="35"/>
        <v>29</v>
      </c>
      <c r="O181">
        <f t="shared" ca="1" si="36"/>
        <v>1</v>
      </c>
    </row>
    <row r="182" spans="2:15" x14ac:dyDescent="0.25">
      <c r="B182" t="str">
        <f t="shared" si="37"/>
        <v>Ruth  Ibrahim</v>
      </c>
      <c r="C182" t="str">
        <f t="shared" si="38"/>
        <v>ruth.ibrahim@northstar-group.com</v>
      </c>
      <c r="D182" t="str">
        <f t="shared" si="27"/>
        <v>EMP077  Ruth  Ibrahim</v>
      </c>
      <c r="E182" t="str">
        <f t="shared" si="28"/>
        <v>Ruth  Ibrahim</v>
      </c>
      <c r="F182" t="str">
        <f t="shared" si="29"/>
        <v>EMP</v>
      </c>
      <c r="G182" t="str">
        <f t="shared" si="30"/>
        <v>077</v>
      </c>
      <c r="H182">
        <f t="shared" si="39"/>
        <v>13</v>
      </c>
      <c r="J182">
        <f t="shared" si="31"/>
        <v>2021</v>
      </c>
      <c r="K182">
        <f t="shared" si="32"/>
        <v>3</v>
      </c>
      <c r="L182" t="str">
        <f t="shared" si="33"/>
        <v>March</v>
      </c>
      <c r="M182" t="str">
        <f t="shared" si="34"/>
        <v>Tuesday</v>
      </c>
      <c r="N182">
        <f t="shared" ca="1" si="35"/>
        <v>34</v>
      </c>
      <c r="O182">
        <f t="shared" ca="1" si="36"/>
        <v>5</v>
      </c>
    </row>
    <row r="183" spans="2:15" x14ac:dyDescent="0.25">
      <c r="B183" t="str">
        <f t="shared" si="37"/>
        <v>Emeka  Adebayo</v>
      </c>
      <c r="C183" t="str">
        <f t="shared" si="38"/>
        <v>emeka.adebayo@northstar-group.com</v>
      </c>
      <c r="D183" t="str">
        <f t="shared" si="27"/>
        <v>EMP078  Emeka  Adebayo</v>
      </c>
      <c r="E183" t="str">
        <f t="shared" si="28"/>
        <v>Emeka  Adebayo</v>
      </c>
      <c r="F183" t="str">
        <f t="shared" si="29"/>
        <v>EMP</v>
      </c>
      <c r="G183" t="str">
        <f t="shared" si="30"/>
        <v>078</v>
      </c>
      <c r="H183">
        <f t="shared" si="39"/>
        <v>14</v>
      </c>
      <c r="J183">
        <f t="shared" si="31"/>
        <v>2022</v>
      </c>
      <c r="K183">
        <f t="shared" si="32"/>
        <v>11</v>
      </c>
      <c r="L183" t="str">
        <f t="shared" si="33"/>
        <v>November</v>
      </c>
      <c r="M183" t="str">
        <f t="shared" si="34"/>
        <v>Friday</v>
      </c>
      <c r="N183">
        <f t="shared" ca="1" si="35"/>
        <v>27</v>
      </c>
      <c r="O183">
        <f t="shared" ca="1" si="36"/>
        <v>3</v>
      </c>
    </row>
    <row r="184" spans="2:15" x14ac:dyDescent="0.25">
      <c r="B184" t="str">
        <f t="shared" si="37"/>
        <v>Linda  Nwosu</v>
      </c>
      <c r="C184" t="str">
        <f t="shared" si="38"/>
        <v>linda.nwosu@northstar-group.com</v>
      </c>
      <c r="D184" t="str">
        <f t="shared" si="27"/>
        <v>EMP079  Linda  Nwosu</v>
      </c>
      <c r="E184" t="str">
        <f t="shared" si="28"/>
        <v>Linda  Nwosu</v>
      </c>
      <c r="F184" t="str">
        <f t="shared" si="29"/>
        <v>EMP</v>
      </c>
      <c r="G184" t="str">
        <f t="shared" si="30"/>
        <v>079</v>
      </c>
      <c r="H184">
        <f t="shared" si="39"/>
        <v>12</v>
      </c>
      <c r="J184">
        <f t="shared" si="31"/>
        <v>2024</v>
      </c>
      <c r="K184">
        <f t="shared" si="32"/>
        <v>1</v>
      </c>
      <c r="L184" t="str">
        <f t="shared" si="33"/>
        <v>January</v>
      </c>
      <c r="M184" t="str">
        <f t="shared" si="34"/>
        <v>Friday</v>
      </c>
      <c r="N184">
        <f t="shared" ca="1" si="35"/>
        <v>13</v>
      </c>
      <c r="O184">
        <f t="shared" ca="1" si="36"/>
        <v>2</v>
      </c>
    </row>
    <row r="185" spans="2:15" x14ac:dyDescent="0.25">
      <c r="B185" t="str">
        <f t="shared" si="37"/>
        <v>Brian  Umeh</v>
      </c>
      <c r="C185" t="str">
        <f t="shared" si="38"/>
        <v>brian.umeh@northstar-group.com</v>
      </c>
      <c r="D185" t="str">
        <f t="shared" si="27"/>
        <v>EMP080  Brian  Umeh</v>
      </c>
      <c r="E185" t="str">
        <f t="shared" si="28"/>
        <v>Brian  Umeh</v>
      </c>
      <c r="F185" t="str">
        <f t="shared" si="29"/>
        <v>EMP</v>
      </c>
      <c r="G185" t="str">
        <f t="shared" si="30"/>
        <v>080</v>
      </c>
      <c r="H185">
        <f t="shared" si="39"/>
        <v>11</v>
      </c>
      <c r="J185">
        <f t="shared" si="31"/>
        <v>2025</v>
      </c>
      <c r="K185">
        <f t="shared" si="32"/>
        <v>6</v>
      </c>
      <c r="L185" t="str">
        <f t="shared" si="33"/>
        <v>June</v>
      </c>
      <c r="M185" t="str">
        <f t="shared" si="34"/>
        <v>Friday</v>
      </c>
      <c r="N185">
        <f t="shared" ca="1" si="35"/>
        <v>36</v>
      </c>
      <c r="O185">
        <f t="shared" ca="1" si="36"/>
        <v>1</v>
      </c>
    </row>
    <row r="186" spans="2:15" x14ac:dyDescent="0.25">
      <c r="B186" t="str">
        <f t="shared" si="37"/>
        <v>Tolu  Smith</v>
      </c>
      <c r="C186" t="str">
        <f t="shared" si="38"/>
        <v>tolu.smith@northstar-group.com</v>
      </c>
      <c r="D186" t="str">
        <f t="shared" si="27"/>
        <v>EMP081  Tolu  Smith</v>
      </c>
      <c r="E186" t="str">
        <f t="shared" si="28"/>
        <v>Tolu  Smith</v>
      </c>
      <c r="F186" t="str">
        <f t="shared" si="29"/>
        <v>EMP</v>
      </c>
      <c r="G186" t="str">
        <f t="shared" si="30"/>
        <v>081</v>
      </c>
      <c r="H186">
        <f t="shared" si="39"/>
        <v>11</v>
      </c>
      <c r="J186">
        <f t="shared" si="31"/>
        <v>2021</v>
      </c>
      <c r="K186">
        <f t="shared" si="32"/>
        <v>1</v>
      </c>
      <c r="L186" t="str">
        <f t="shared" si="33"/>
        <v>January</v>
      </c>
      <c r="M186" t="str">
        <f t="shared" si="34"/>
        <v>Thursday</v>
      </c>
      <c r="N186">
        <f t="shared" ca="1" si="35"/>
        <v>31</v>
      </c>
      <c r="O186">
        <f t="shared" ca="1" si="36"/>
        <v>5</v>
      </c>
    </row>
    <row r="187" spans="2:15" x14ac:dyDescent="0.25">
      <c r="B187" t="str">
        <f t="shared" si="37"/>
        <v>Ngozi  Williams</v>
      </c>
      <c r="C187" t="str">
        <f t="shared" si="38"/>
        <v>ngozi.williams@northstar-group.com</v>
      </c>
      <c r="D187" t="str">
        <f t="shared" si="27"/>
        <v>EMP082  Ngozi  Williams</v>
      </c>
      <c r="E187" t="str">
        <f t="shared" si="28"/>
        <v>Ngozi  Williams</v>
      </c>
      <c r="F187" t="str">
        <f t="shared" si="29"/>
        <v>EMP</v>
      </c>
      <c r="G187" t="str">
        <f t="shared" si="30"/>
        <v>082</v>
      </c>
      <c r="H187">
        <f t="shared" si="39"/>
        <v>15</v>
      </c>
      <c r="J187">
        <f t="shared" si="31"/>
        <v>2025</v>
      </c>
      <c r="K187">
        <f t="shared" si="32"/>
        <v>4</v>
      </c>
      <c r="L187" t="str">
        <f t="shared" si="33"/>
        <v>April</v>
      </c>
      <c r="M187" t="str">
        <f t="shared" si="34"/>
        <v>Wednesday</v>
      </c>
      <c r="N187">
        <f t="shared" ca="1" si="35"/>
        <v>30</v>
      </c>
      <c r="O187">
        <f t="shared" ca="1" si="36"/>
        <v>1</v>
      </c>
    </row>
    <row r="188" spans="2:15" x14ac:dyDescent="0.25">
      <c r="B188" t="str">
        <f t="shared" si="37"/>
        <v>Henry  Johnson</v>
      </c>
      <c r="C188" t="str">
        <f t="shared" si="38"/>
        <v>henry.johnson@northstar-group.com</v>
      </c>
      <c r="D188" t="str">
        <f t="shared" si="27"/>
        <v>EMP083  Henry  Johnson</v>
      </c>
      <c r="E188" t="str">
        <f t="shared" si="28"/>
        <v>Henry  Johnson</v>
      </c>
      <c r="F188" t="str">
        <f t="shared" si="29"/>
        <v>EMP</v>
      </c>
      <c r="G188" t="str">
        <f t="shared" si="30"/>
        <v>083</v>
      </c>
      <c r="H188">
        <f t="shared" si="39"/>
        <v>14</v>
      </c>
      <c r="J188">
        <f t="shared" si="31"/>
        <v>2025</v>
      </c>
      <c r="K188">
        <f t="shared" si="32"/>
        <v>9</v>
      </c>
      <c r="L188" t="str">
        <f t="shared" si="33"/>
        <v>September</v>
      </c>
      <c r="M188" t="str">
        <f t="shared" si="34"/>
        <v>Monday</v>
      </c>
      <c r="N188">
        <f t="shared" ca="1" si="35"/>
        <v>29</v>
      </c>
      <c r="O188">
        <f t="shared" ca="1" si="36"/>
        <v>1</v>
      </c>
    </row>
    <row r="189" spans="2:15" x14ac:dyDescent="0.25">
      <c r="B189" t="str">
        <f t="shared" si="37"/>
        <v>Janet  Brown</v>
      </c>
      <c r="C189" t="str">
        <f t="shared" si="38"/>
        <v>janet.brown@northstar-group.com</v>
      </c>
      <c r="D189" t="str">
        <f t="shared" si="27"/>
        <v>EMP084  Janet  Brown</v>
      </c>
      <c r="E189" t="str">
        <f t="shared" si="28"/>
        <v>Janet  Brown</v>
      </c>
      <c r="F189" t="str">
        <f t="shared" si="29"/>
        <v>EMP</v>
      </c>
      <c r="G189" t="str">
        <f t="shared" si="30"/>
        <v>084</v>
      </c>
      <c r="H189">
        <f t="shared" si="39"/>
        <v>12</v>
      </c>
      <c r="J189">
        <f t="shared" si="31"/>
        <v>2023</v>
      </c>
      <c r="K189">
        <f t="shared" si="32"/>
        <v>9</v>
      </c>
      <c r="L189" t="str">
        <f t="shared" si="33"/>
        <v>September</v>
      </c>
      <c r="M189" t="str">
        <f t="shared" si="34"/>
        <v>Thursday</v>
      </c>
      <c r="N189">
        <f t="shared" ca="1" si="35"/>
        <v>16</v>
      </c>
      <c r="O189">
        <f t="shared" ca="1" si="36"/>
        <v>2</v>
      </c>
    </row>
    <row r="190" spans="2:15" x14ac:dyDescent="0.25">
      <c r="B190" t="str">
        <f t="shared" si="37"/>
        <v>Paul  Okafor</v>
      </c>
      <c r="C190" t="str">
        <f t="shared" si="38"/>
        <v>paul.okafor@northstar-group.com</v>
      </c>
      <c r="D190" t="str">
        <f t="shared" si="27"/>
        <v>EMP085  Paul  Okafor</v>
      </c>
      <c r="E190" t="str">
        <f t="shared" si="28"/>
        <v>Paul  Okafor</v>
      </c>
      <c r="F190" t="str">
        <f t="shared" si="29"/>
        <v>EMP</v>
      </c>
      <c r="G190" t="str">
        <f t="shared" si="30"/>
        <v>085</v>
      </c>
      <c r="H190">
        <f t="shared" si="39"/>
        <v>12</v>
      </c>
      <c r="J190">
        <f t="shared" si="31"/>
        <v>2020</v>
      </c>
      <c r="K190">
        <f t="shared" si="32"/>
        <v>7</v>
      </c>
      <c r="L190" t="str">
        <f t="shared" si="33"/>
        <v>July</v>
      </c>
      <c r="M190" t="str">
        <f t="shared" si="34"/>
        <v>Thursday</v>
      </c>
      <c r="N190">
        <f t="shared" ca="1" si="35"/>
        <v>27</v>
      </c>
      <c r="O190">
        <f t="shared" ca="1" si="36"/>
        <v>6</v>
      </c>
    </row>
    <row r="191" spans="2:15" x14ac:dyDescent="0.25">
      <c r="B191" t="str">
        <f t="shared" si="37"/>
        <v>Mercy  Mensah</v>
      </c>
      <c r="C191" t="str">
        <f t="shared" si="38"/>
        <v>mercy.mensah@northstar-group.com</v>
      </c>
      <c r="D191" t="str">
        <f t="shared" si="27"/>
        <v>EMP086  Mercy  Mensah</v>
      </c>
      <c r="E191" t="str">
        <f t="shared" si="28"/>
        <v>Mercy  Mensah</v>
      </c>
      <c r="F191" t="str">
        <f t="shared" si="29"/>
        <v>EMP</v>
      </c>
      <c r="G191" t="str">
        <f t="shared" si="30"/>
        <v>086</v>
      </c>
      <c r="H191">
        <f t="shared" si="39"/>
        <v>13</v>
      </c>
      <c r="J191">
        <f t="shared" si="31"/>
        <v>2023</v>
      </c>
      <c r="K191">
        <f t="shared" si="32"/>
        <v>9</v>
      </c>
      <c r="L191" t="str">
        <f t="shared" si="33"/>
        <v>September</v>
      </c>
      <c r="M191" t="str">
        <f t="shared" si="34"/>
        <v>Tuesday</v>
      </c>
      <c r="N191">
        <f t="shared" ca="1" si="35"/>
        <v>37</v>
      </c>
      <c r="O191">
        <f t="shared" ca="1" si="36"/>
        <v>2</v>
      </c>
    </row>
    <row r="192" spans="2:15" x14ac:dyDescent="0.25">
      <c r="B192" t="str">
        <f t="shared" si="37"/>
        <v>Kevin  Adeyemi</v>
      </c>
      <c r="C192" t="str">
        <f t="shared" si="38"/>
        <v>kevin.adeyemi@northstar-group.com</v>
      </c>
      <c r="D192" t="str">
        <f t="shared" si="27"/>
        <v>EMP087  Kevin  Adeyemi</v>
      </c>
      <c r="E192" t="str">
        <f t="shared" si="28"/>
        <v>Kevin  Adeyemi</v>
      </c>
      <c r="F192" t="str">
        <f t="shared" si="29"/>
        <v>EMP</v>
      </c>
      <c r="G192" t="str">
        <f t="shared" si="30"/>
        <v>087</v>
      </c>
      <c r="H192">
        <f t="shared" si="39"/>
        <v>14</v>
      </c>
      <c r="J192">
        <f t="shared" si="31"/>
        <v>2022</v>
      </c>
      <c r="K192">
        <f t="shared" si="32"/>
        <v>12</v>
      </c>
      <c r="L192" t="str">
        <f t="shared" si="33"/>
        <v>December</v>
      </c>
      <c r="M192" t="str">
        <f t="shared" si="34"/>
        <v>Monday</v>
      </c>
      <c r="N192">
        <f t="shared" ca="1" si="35"/>
        <v>26</v>
      </c>
      <c r="O192">
        <f t="shared" ca="1" si="36"/>
        <v>3</v>
      </c>
    </row>
    <row r="193" spans="2:15" x14ac:dyDescent="0.25">
      <c r="B193" t="str">
        <f t="shared" si="37"/>
        <v>Ada  Bello</v>
      </c>
      <c r="C193" t="str">
        <f t="shared" si="38"/>
        <v>ada.bello@northstar-group.com</v>
      </c>
      <c r="D193" t="str">
        <f t="shared" si="27"/>
        <v>EMP088  Ada  Bello</v>
      </c>
      <c r="E193" t="str">
        <f t="shared" si="28"/>
        <v>Ada  Bello</v>
      </c>
      <c r="F193" t="str">
        <f t="shared" si="29"/>
        <v>EMP</v>
      </c>
      <c r="G193" t="str">
        <f t="shared" si="30"/>
        <v>088</v>
      </c>
      <c r="H193">
        <f t="shared" si="39"/>
        <v>10</v>
      </c>
      <c r="J193">
        <f t="shared" si="31"/>
        <v>2020</v>
      </c>
      <c r="K193">
        <f t="shared" si="32"/>
        <v>10</v>
      </c>
      <c r="L193" t="str">
        <f t="shared" si="33"/>
        <v>October</v>
      </c>
      <c r="M193" t="str">
        <f t="shared" si="34"/>
        <v>Monday</v>
      </c>
      <c r="N193">
        <f t="shared" ca="1" si="35"/>
        <v>31</v>
      </c>
      <c r="O193">
        <f t="shared" ca="1" si="36"/>
        <v>5</v>
      </c>
    </row>
    <row r="194" spans="2:15" x14ac:dyDescent="0.25">
      <c r="B194" t="str">
        <f t="shared" si="37"/>
        <v>Joseph  Eze</v>
      </c>
      <c r="C194" t="str">
        <f t="shared" si="38"/>
        <v>joseph.eze@northstar-group.com</v>
      </c>
      <c r="D194" t="str">
        <f t="shared" si="27"/>
        <v>EMP089  Joseph  Eze</v>
      </c>
      <c r="E194" t="str">
        <f t="shared" si="28"/>
        <v>Joseph  Eze</v>
      </c>
      <c r="F194" t="str">
        <f t="shared" si="29"/>
        <v>EMP</v>
      </c>
      <c r="G194" t="str">
        <f t="shared" si="30"/>
        <v>089</v>
      </c>
      <c r="H194">
        <f t="shared" si="39"/>
        <v>11</v>
      </c>
      <c r="J194">
        <f t="shared" si="31"/>
        <v>2023</v>
      </c>
      <c r="K194">
        <f t="shared" si="32"/>
        <v>5</v>
      </c>
      <c r="L194" t="str">
        <f t="shared" si="33"/>
        <v>May</v>
      </c>
      <c r="M194" t="str">
        <f t="shared" si="34"/>
        <v>Tuesday</v>
      </c>
      <c r="N194">
        <f t="shared" ca="1" si="35"/>
        <v>40</v>
      </c>
      <c r="O194">
        <f t="shared" ca="1" si="36"/>
        <v>3</v>
      </c>
    </row>
    <row r="195" spans="2:15" x14ac:dyDescent="0.25">
      <c r="B195" t="str">
        <f t="shared" si="37"/>
        <v>Rose  Okoro</v>
      </c>
      <c r="C195" t="str">
        <f t="shared" si="38"/>
        <v>rose.okoro@northstar-group.com</v>
      </c>
      <c r="D195" t="str">
        <f t="shared" si="27"/>
        <v>EMP090  Rose  Okoro</v>
      </c>
      <c r="E195" t="str">
        <f t="shared" si="28"/>
        <v>Rose  Okoro</v>
      </c>
      <c r="F195" t="str">
        <f t="shared" si="29"/>
        <v>EMP</v>
      </c>
      <c r="G195" t="str">
        <f t="shared" si="30"/>
        <v>090</v>
      </c>
      <c r="H195">
        <f t="shared" si="39"/>
        <v>11</v>
      </c>
      <c r="J195">
        <f t="shared" si="31"/>
        <v>2026</v>
      </c>
      <c r="K195">
        <f t="shared" si="32"/>
        <v>5</v>
      </c>
      <c r="L195" t="str">
        <f t="shared" si="33"/>
        <v>May</v>
      </c>
      <c r="M195" t="str">
        <f t="shared" si="34"/>
        <v>Tuesday</v>
      </c>
      <c r="N195">
        <f t="shared" ca="1" si="35"/>
        <v>11</v>
      </c>
      <c r="O195">
        <f t="shared" ca="1" si="36"/>
        <v>0</v>
      </c>
    </row>
    <row r="196" spans="2:15" x14ac:dyDescent="0.25">
      <c r="B196" t="str">
        <f t="shared" si="37"/>
        <v>Aisha  Ibrahim</v>
      </c>
      <c r="C196" t="str">
        <f t="shared" si="38"/>
        <v>aisha.ibrahim@northstar-group.com</v>
      </c>
      <c r="D196" t="str">
        <f t="shared" si="27"/>
        <v>EMP091  Aisha  Ibrahim</v>
      </c>
      <c r="E196" t="str">
        <f t="shared" si="28"/>
        <v>Aisha  Ibrahim</v>
      </c>
      <c r="F196" t="str">
        <f t="shared" si="29"/>
        <v>EMP</v>
      </c>
      <c r="G196" t="str">
        <f t="shared" si="30"/>
        <v>091</v>
      </c>
      <c r="H196">
        <f t="shared" si="39"/>
        <v>14</v>
      </c>
      <c r="J196">
        <f t="shared" si="31"/>
        <v>2021</v>
      </c>
      <c r="K196">
        <f t="shared" si="32"/>
        <v>8</v>
      </c>
      <c r="L196" t="str">
        <f t="shared" si="33"/>
        <v>August</v>
      </c>
      <c r="M196" t="str">
        <f t="shared" si="34"/>
        <v>Saturday</v>
      </c>
      <c r="N196">
        <f t="shared" ca="1" si="35"/>
        <v>31</v>
      </c>
      <c r="O196">
        <f t="shared" ca="1" si="36"/>
        <v>5</v>
      </c>
    </row>
    <row r="197" spans="2:15" x14ac:dyDescent="0.25">
      <c r="B197" t="str">
        <f t="shared" si="37"/>
        <v>Daniel  Adebayo</v>
      </c>
      <c r="C197" t="str">
        <f t="shared" si="38"/>
        <v>daniel.adebayo@northstar-group.com</v>
      </c>
      <c r="D197" t="str">
        <f t="shared" si="27"/>
        <v>EMP092  Daniel  Adebayo</v>
      </c>
      <c r="E197" t="str">
        <f t="shared" si="28"/>
        <v>Daniel  Adebayo</v>
      </c>
      <c r="F197" t="str">
        <f t="shared" si="29"/>
        <v>EMP</v>
      </c>
      <c r="G197" t="str">
        <f t="shared" si="30"/>
        <v>092</v>
      </c>
      <c r="H197">
        <f t="shared" si="39"/>
        <v>15</v>
      </c>
      <c r="J197">
        <f t="shared" si="31"/>
        <v>2024</v>
      </c>
      <c r="K197">
        <f t="shared" si="32"/>
        <v>12</v>
      </c>
      <c r="L197" t="str">
        <f t="shared" si="33"/>
        <v>December</v>
      </c>
      <c r="M197" t="str">
        <f t="shared" si="34"/>
        <v>Thursday</v>
      </c>
      <c r="N197">
        <f t="shared" ca="1" si="35"/>
        <v>26</v>
      </c>
      <c r="O197">
        <f t="shared" ca="1" si="36"/>
        <v>1</v>
      </c>
    </row>
    <row r="198" spans="2:15" x14ac:dyDescent="0.25">
      <c r="B198" t="str">
        <f t="shared" si="37"/>
        <v>Grace  Nwosu</v>
      </c>
      <c r="C198" t="str">
        <f t="shared" si="38"/>
        <v>grace.nwosu@northstar-group.com</v>
      </c>
      <c r="D198" t="str">
        <f t="shared" si="27"/>
        <v>EMP093  Grace  Nwosu</v>
      </c>
      <c r="E198" t="str">
        <f t="shared" si="28"/>
        <v>Grace  Nwosu</v>
      </c>
      <c r="F198" t="str">
        <f t="shared" si="29"/>
        <v>EMP</v>
      </c>
      <c r="G198" t="str">
        <f t="shared" si="30"/>
        <v>093</v>
      </c>
      <c r="H198">
        <f t="shared" si="39"/>
        <v>12</v>
      </c>
      <c r="J198">
        <f t="shared" si="31"/>
        <v>2021</v>
      </c>
      <c r="K198">
        <f t="shared" si="32"/>
        <v>3</v>
      </c>
      <c r="L198" t="str">
        <f t="shared" si="33"/>
        <v>March</v>
      </c>
      <c r="M198" t="str">
        <f t="shared" si="34"/>
        <v>Wednesday</v>
      </c>
      <c r="N198">
        <f t="shared" ca="1" si="35"/>
        <v>31</v>
      </c>
      <c r="O198">
        <f t="shared" ca="1" si="36"/>
        <v>5</v>
      </c>
    </row>
    <row r="199" spans="2:15" x14ac:dyDescent="0.25">
      <c r="B199" t="str">
        <f t="shared" si="37"/>
        <v>Michael  Umeh</v>
      </c>
      <c r="C199" t="str">
        <f t="shared" si="38"/>
        <v>michael.umeh@northstar-group.com</v>
      </c>
      <c r="D199" t="str">
        <f t="shared" si="27"/>
        <v>EMP094  Michael  Umeh</v>
      </c>
      <c r="E199" t="str">
        <f t="shared" si="28"/>
        <v>Michael  Umeh</v>
      </c>
      <c r="F199" t="str">
        <f t="shared" si="29"/>
        <v>EMP</v>
      </c>
      <c r="G199" t="str">
        <f t="shared" si="30"/>
        <v>094</v>
      </c>
      <c r="H199">
        <f t="shared" si="39"/>
        <v>13</v>
      </c>
      <c r="J199">
        <f t="shared" si="31"/>
        <v>2026</v>
      </c>
      <c r="K199">
        <f t="shared" si="32"/>
        <v>5</v>
      </c>
      <c r="L199" t="str">
        <f t="shared" si="33"/>
        <v>May</v>
      </c>
      <c r="M199" t="str">
        <f t="shared" si="34"/>
        <v>Tuesday</v>
      </c>
      <c r="N199">
        <f t="shared" ca="1" si="35"/>
        <v>10</v>
      </c>
      <c r="O199">
        <f t="shared" ca="1" si="36"/>
        <v>0</v>
      </c>
    </row>
    <row r="200" spans="2:15" x14ac:dyDescent="0.25">
      <c r="B200" t="str">
        <f t="shared" si="37"/>
        <v>Chiamaka  Smith</v>
      </c>
      <c r="C200" t="str">
        <f t="shared" si="38"/>
        <v>chiamaka.smith@northstar-group.com</v>
      </c>
      <c r="D200" t="str">
        <f t="shared" si="27"/>
        <v>EMP095  Chiamaka  Smith</v>
      </c>
      <c r="E200" t="str">
        <f t="shared" si="28"/>
        <v>Chiamaka  Smith</v>
      </c>
      <c r="F200" t="str">
        <f t="shared" si="29"/>
        <v>EMP</v>
      </c>
      <c r="G200" t="str">
        <f t="shared" si="30"/>
        <v>095</v>
      </c>
      <c r="H200">
        <f t="shared" si="39"/>
        <v>15</v>
      </c>
      <c r="J200">
        <f t="shared" si="31"/>
        <v>2022</v>
      </c>
      <c r="K200">
        <f t="shared" si="32"/>
        <v>2</v>
      </c>
      <c r="L200" t="str">
        <f t="shared" si="33"/>
        <v>February</v>
      </c>
      <c r="M200" t="str">
        <f t="shared" si="34"/>
        <v>Tuesday</v>
      </c>
      <c r="N200">
        <f t="shared" ca="1" si="35"/>
        <v>13</v>
      </c>
      <c r="O200">
        <f t="shared" ca="1" si="36"/>
        <v>4</v>
      </c>
    </row>
    <row r="201" spans="2:15" x14ac:dyDescent="0.25">
      <c r="B201" t="str">
        <f t="shared" si="37"/>
        <v>David  Williams</v>
      </c>
      <c r="C201" t="str">
        <f t="shared" si="38"/>
        <v>david.williams@northstar-group.com</v>
      </c>
      <c r="D201" t="str">
        <f t="shared" si="27"/>
        <v>EMP096  David  Williams</v>
      </c>
      <c r="E201" t="str">
        <f t="shared" si="28"/>
        <v>David  Williams</v>
      </c>
      <c r="F201" t="str">
        <f t="shared" si="29"/>
        <v>EMP</v>
      </c>
      <c r="G201" t="str">
        <f t="shared" si="30"/>
        <v>096</v>
      </c>
      <c r="H201">
        <f t="shared" si="39"/>
        <v>15</v>
      </c>
      <c r="J201">
        <f t="shared" si="31"/>
        <v>2020</v>
      </c>
      <c r="K201">
        <f t="shared" si="32"/>
        <v>5</v>
      </c>
      <c r="L201" t="str">
        <f t="shared" si="33"/>
        <v>May</v>
      </c>
      <c r="M201" t="str">
        <f t="shared" si="34"/>
        <v>Thursday</v>
      </c>
      <c r="N201">
        <f t="shared" ca="1" si="35"/>
        <v>15</v>
      </c>
      <c r="O201">
        <f t="shared" ca="1" si="36"/>
        <v>6</v>
      </c>
    </row>
    <row r="202" spans="2:15" x14ac:dyDescent="0.25">
      <c r="B202" t="str">
        <f t="shared" si="37"/>
        <v>Sarah  Johnson</v>
      </c>
      <c r="C202" t="str">
        <f t="shared" si="38"/>
        <v>sarah.johnson@northstar-group.com</v>
      </c>
      <c r="D202" t="str">
        <f t="shared" ref="D202:D205" si="40">_xlfn.CONCAT(A98,"  ",B202)</f>
        <v>EMP097  Sarah  Johnson</v>
      </c>
      <c r="E202" t="str">
        <f t="shared" si="28"/>
        <v>Sarah  Johnson</v>
      </c>
      <c r="F202" t="str">
        <f t="shared" ref="F202:F205" si="41">LEFT(A98,3)</f>
        <v>EMP</v>
      </c>
      <c r="G202" t="str">
        <f t="shared" ref="G202:G205" si="42">RIGHT(A98,3)</f>
        <v>097</v>
      </c>
      <c r="H202">
        <f t="shared" si="39"/>
        <v>14</v>
      </c>
      <c r="J202">
        <f t="shared" ref="J202:J205" si="43">YEAR(H98)</f>
        <v>2025</v>
      </c>
      <c r="K202">
        <f t="shared" ref="K202:K205" si="44">MONTH(H98)</f>
        <v>12</v>
      </c>
      <c r="L202" t="str">
        <f t="shared" ref="L202:L205" si="45">TEXT(H98,"MMMM")</f>
        <v>December</v>
      </c>
      <c r="M202" t="str">
        <f t="shared" ref="M202:M205" si="46">TEXT(H98,"DDDD")</f>
        <v>Friday</v>
      </c>
      <c r="N202">
        <f t="shared" ref="N202:N205" ca="1" si="47">DATEDIF(I98,TODAY(),"Y")</f>
        <v>19</v>
      </c>
      <c r="O202">
        <f t="shared" ref="O202:O205" ca="1" si="48">DATEDIF(H98,TODAY(),"Y")</f>
        <v>0</v>
      </c>
    </row>
    <row r="203" spans="2:15" x14ac:dyDescent="0.25">
      <c r="B203" t="str">
        <f t="shared" si="37"/>
        <v>James  Brown</v>
      </c>
      <c r="C203" t="str">
        <f t="shared" si="38"/>
        <v>james.brown@northstar-group.com</v>
      </c>
      <c r="D203" t="str">
        <f t="shared" si="40"/>
        <v>EMP098  James  Brown</v>
      </c>
      <c r="E203" t="str">
        <f t="shared" si="28"/>
        <v>James  Brown</v>
      </c>
      <c r="F203" t="str">
        <f t="shared" si="41"/>
        <v>EMP</v>
      </c>
      <c r="G203" t="str">
        <f t="shared" si="42"/>
        <v>098</v>
      </c>
      <c r="H203">
        <f t="shared" si="39"/>
        <v>12</v>
      </c>
      <c r="J203">
        <f t="shared" si="43"/>
        <v>2022</v>
      </c>
      <c r="K203">
        <f t="shared" si="44"/>
        <v>7</v>
      </c>
      <c r="L203" t="str">
        <f t="shared" si="45"/>
        <v>July</v>
      </c>
      <c r="M203" t="str">
        <f t="shared" si="46"/>
        <v>Monday</v>
      </c>
      <c r="N203">
        <f t="shared" ca="1" si="47"/>
        <v>11</v>
      </c>
      <c r="O203">
        <f t="shared" ca="1" si="48"/>
        <v>4</v>
      </c>
    </row>
    <row r="204" spans="2:15" x14ac:dyDescent="0.25">
      <c r="B204" t="str">
        <f t="shared" si="37"/>
        <v>Blessing  Okafor</v>
      </c>
      <c r="C204" t="str">
        <f t="shared" si="38"/>
        <v>blessing.okafor@northstar-group.com</v>
      </c>
      <c r="D204" t="str">
        <f t="shared" si="40"/>
        <v>EMP099  Blessing  Okafor</v>
      </c>
      <c r="E204" t="str">
        <f t="shared" si="28"/>
        <v>Blessing  Okafor</v>
      </c>
      <c r="F204" t="str">
        <f t="shared" si="41"/>
        <v>EMP</v>
      </c>
      <c r="G204" t="str">
        <f t="shared" si="42"/>
        <v>099</v>
      </c>
      <c r="H204">
        <f t="shared" si="39"/>
        <v>16</v>
      </c>
      <c r="J204">
        <f t="shared" si="43"/>
        <v>2024</v>
      </c>
      <c r="K204">
        <f t="shared" si="44"/>
        <v>2</v>
      </c>
      <c r="L204" t="str">
        <f t="shared" si="45"/>
        <v>February</v>
      </c>
      <c r="M204" t="str">
        <f t="shared" si="46"/>
        <v>Friday</v>
      </c>
      <c r="N204">
        <f t="shared" ca="1" si="47"/>
        <v>11</v>
      </c>
      <c r="O204">
        <f t="shared" ca="1" si="48"/>
        <v>2</v>
      </c>
    </row>
    <row r="205" spans="2:15" x14ac:dyDescent="0.25">
      <c r="B205" t="str">
        <f t="shared" si="37"/>
        <v>Victor  Mensah</v>
      </c>
      <c r="C205" t="str">
        <f t="shared" si="38"/>
        <v>victor.mensah@northstar-group.com</v>
      </c>
      <c r="D205" t="str">
        <f t="shared" si="40"/>
        <v>EMP100  Victor  Mensah</v>
      </c>
      <c r="E205" t="str">
        <f t="shared" si="28"/>
        <v>Victor  Mensah</v>
      </c>
      <c r="F205" t="str">
        <f t="shared" si="41"/>
        <v>EMP</v>
      </c>
      <c r="G205" t="str">
        <f t="shared" si="42"/>
        <v>100</v>
      </c>
      <c r="H205">
        <f t="shared" si="39"/>
        <v>14</v>
      </c>
      <c r="J205">
        <f t="shared" si="43"/>
        <v>2026</v>
      </c>
      <c r="K205">
        <f t="shared" si="44"/>
        <v>4</v>
      </c>
      <c r="L205" t="str">
        <f t="shared" si="45"/>
        <v>April</v>
      </c>
      <c r="M205" t="str">
        <f t="shared" si="46"/>
        <v>Thursday</v>
      </c>
      <c r="N205">
        <f t="shared" ca="1" si="47"/>
        <v>27</v>
      </c>
      <c r="O205">
        <f t="shared" ca="1" si="48"/>
        <v>0</v>
      </c>
    </row>
    <row r="209" spans="1:14" x14ac:dyDescent="0.25">
      <c r="A209" t="s">
        <v>329</v>
      </c>
      <c r="B209">
        <f>COUNTIF(K:K,"active")</f>
        <v>74</v>
      </c>
    </row>
    <row r="211" spans="1:14" ht="15.75" x14ac:dyDescent="0.25">
      <c r="A211" t="s">
        <v>330</v>
      </c>
      <c r="C211" s="7" t="s">
        <v>331</v>
      </c>
      <c r="D211" s="8" t="s">
        <v>332</v>
      </c>
      <c r="E211" s="7"/>
      <c r="F211" s="7" t="s">
        <v>4</v>
      </c>
      <c r="G211" s="7" t="s">
        <v>332</v>
      </c>
      <c r="H211" s="7"/>
      <c r="I211" s="7" t="s">
        <v>4</v>
      </c>
      <c r="J211" s="7" t="s">
        <v>335</v>
      </c>
      <c r="K211" s="7"/>
      <c r="L211" s="7" t="s">
        <v>4</v>
      </c>
      <c r="M211" s="7" t="s">
        <v>337</v>
      </c>
      <c r="N211" s="7"/>
    </row>
    <row r="212" spans="1:14" x14ac:dyDescent="0.25">
      <c r="A212" t="s">
        <v>333</v>
      </c>
      <c r="C212" t="s">
        <v>26</v>
      </c>
      <c r="D212" s="6">
        <f>COUNTIF(G2:G101,C212)</f>
        <v>15</v>
      </c>
      <c r="F212" t="s">
        <v>24</v>
      </c>
      <c r="G212">
        <f>SUMIF(E2:E101,F212,M2:M101)</f>
        <v>7272395</v>
      </c>
      <c r="I212" t="s">
        <v>24</v>
      </c>
      <c r="J212">
        <f>SUMIF(E2:E101,I212,N2:N101)</f>
        <v>1226862</v>
      </c>
      <c r="L212" t="s">
        <v>24</v>
      </c>
      <c r="M212">
        <f>SUMIF(E2:E101,L212,Q2:Q101)</f>
        <v>1165</v>
      </c>
    </row>
    <row r="213" spans="1:14" x14ac:dyDescent="0.25">
      <c r="A213" t="s">
        <v>334</v>
      </c>
      <c r="C213" t="s">
        <v>38</v>
      </c>
      <c r="D213" s="6">
        <f>COUNTIF(G3:G102,C213)</f>
        <v>15</v>
      </c>
      <c r="F213" t="s">
        <v>36</v>
      </c>
      <c r="G213">
        <f t="shared" ref="G213:G218" si="49">SUMIF(E3:E102,F213,M3:M102)</f>
        <v>7349960</v>
      </c>
      <c r="I213" t="s">
        <v>36</v>
      </c>
      <c r="J213">
        <f t="shared" ref="J213:J218" si="50">SUMIF(E3:E102,I213,N3:N102)</f>
        <v>1067667</v>
      </c>
      <c r="L213" t="s">
        <v>36</v>
      </c>
      <c r="M213">
        <f t="shared" ref="M213:M216" si="51">SUMIF(E3:E102,L213,Q3:Q102)</f>
        <v>1155</v>
      </c>
    </row>
    <row r="214" spans="1:14" x14ac:dyDescent="0.25">
      <c r="A214" t="s">
        <v>336</v>
      </c>
      <c r="C214" t="s">
        <v>48</v>
      </c>
      <c r="D214" s="6">
        <f>COUNTIF(G4:G103,C214)</f>
        <v>14</v>
      </c>
      <c r="F214" t="s">
        <v>46</v>
      </c>
      <c r="G214">
        <f t="shared" si="49"/>
        <v>6711627</v>
      </c>
      <c r="I214" t="s">
        <v>46</v>
      </c>
      <c r="J214">
        <f t="shared" si="50"/>
        <v>1174206</v>
      </c>
      <c r="L214" t="s">
        <v>46</v>
      </c>
      <c r="M214">
        <f t="shared" si="51"/>
        <v>1017</v>
      </c>
    </row>
    <row r="215" spans="1:14" x14ac:dyDescent="0.25">
      <c r="C215" t="s">
        <v>58</v>
      </c>
      <c r="D215" s="6">
        <f>COUNTIF(G5:G104,C215)</f>
        <v>14</v>
      </c>
      <c r="F215" t="s">
        <v>56</v>
      </c>
      <c r="G215">
        <f t="shared" si="49"/>
        <v>6361094</v>
      </c>
      <c r="I215" t="s">
        <v>56</v>
      </c>
      <c r="J215">
        <f t="shared" si="50"/>
        <v>714451</v>
      </c>
      <c r="L215" t="s">
        <v>56</v>
      </c>
      <c r="M215">
        <f t="shared" si="51"/>
        <v>1178</v>
      </c>
    </row>
    <row r="216" spans="1:14" x14ac:dyDescent="0.25">
      <c r="C216" t="s">
        <v>66</v>
      </c>
      <c r="D216" s="6">
        <f>COUNTIF(G6:G104,C216)</f>
        <v>14</v>
      </c>
      <c r="F216" t="s">
        <v>64</v>
      </c>
      <c r="G216">
        <f t="shared" si="49"/>
        <v>7142603</v>
      </c>
      <c r="I216" t="s">
        <v>64</v>
      </c>
      <c r="J216">
        <f t="shared" si="50"/>
        <v>1017120</v>
      </c>
      <c r="L216" t="s">
        <v>64</v>
      </c>
      <c r="M216">
        <f t="shared" si="51"/>
        <v>1079</v>
      </c>
    </row>
    <row r="217" spans="1:14" x14ac:dyDescent="0.25">
      <c r="C217" t="s">
        <v>75</v>
      </c>
      <c r="D217" s="6">
        <f>COUNTIF(G7:G105,C217)</f>
        <v>14</v>
      </c>
      <c r="F217" t="s">
        <v>73</v>
      </c>
      <c r="G217">
        <f t="shared" si="49"/>
        <v>6869489</v>
      </c>
      <c r="I217" t="s">
        <v>73</v>
      </c>
      <c r="J217">
        <f t="shared" si="50"/>
        <v>1400898</v>
      </c>
      <c r="L217" t="s">
        <v>73</v>
      </c>
      <c r="M217">
        <f ca="1">SUMIF(E7:E106,L217,Q7:Q105)</f>
        <v>1004</v>
      </c>
    </row>
    <row r="218" spans="1:14" x14ac:dyDescent="0.25">
      <c r="C218" t="s">
        <v>82</v>
      </c>
      <c r="D218" s="6">
        <f>COUNTIF(G8:G106,C218)</f>
        <v>14</v>
      </c>
      <c r="F218" t="s">
        <v>80</v>
      </c>
      <c r="G218">
        <f t="shared" si="49"/>
        <v>6634937</v>
      </c>
      <c r="I218" t="s">
        <v>80</v>
      </c>
      <c r="J218">
        <f t="shared" si="50"/>
        <v>1091461</v>
      </c>
      <c r="L218" t="s">
        <v>80</v>
      </c>
      <c r="M218">
        <f ca="1">SUMIF(E8:E107,L218,Q8:Q105)</f>
        <v>1069</v>
      </c>
    </row>
  </sheetData>
  <autoFilter ref="A1:T101" xr:uid="{00000000-0009-0000-0000-000000000000}"/>
  <conditionalFormatting sqref="O106:O205">
    <cfRule type="iconSet" priority="1">
      <iconSet>
        <cfvo type="percent" val="0"/>
        <cfvo type="num" val="4"/>
        <cfvo type="num" val="5"/>
      </iconSet>
    </cfRule>
    <cfRule type="iconSet" priority="2">
      <iconSet>
        <cfvo type="percent" val="0"/>
        <cfvo type="num" val="0"/>
        <cfvo type="num" val="5"/>
      </iconSet>
    </cfRule>
    <cfRule type="iconSet" priority="3">
      <iconSet showValue="0">
        <cfvo type="percent" val="0"/>
        <cfvo type="num" val="0"/>
        <cfvo type="num" val="5"/>
      </iconSet>
    </cfRule>
    <cfRule type="iconSet" priority="4">
      <iconSet>
        <cfvo type="percent" val="0"/>
        <cfvo type="num" val="0"/>
        <cfvo type="num" val="5"/>
      </iconSet>
    </cfRule>
    <cfRule type="containsText" priority="5" operator="containsText" text="5">
      <formula>NOT(ISERROR(SEARCH("5",O106)))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6B94-594D-4B47-8717-5E4C8A8D811D}">
  <dimension ref="A1:O106"/>
  <sheetViews>
    <sheetView topLeftCell="L1" zoomScale="60" zoomScaleNormal="60" workbookViewId="0">
      <selection activeCell="A60" sqref="A60"/>
    </sheetView>
  </sheetViews>
  <sheetFormatPr defaultRowHeight="15" x14ac:dyDescent="0.25"/>
  <cols>
    <col min="1" max="1" width="19.7109375" bestFit="1" customWidth="1"/>
    <col min="2" max="2" width="29.85546875" bestFit="1" customWidth="1"/>
    <col min="3" max="3" width="28" bestFit="1" customWidth="1"/>
    <col min="5" max="5" width="24" bestFit="1" customWidth="1"/>
    <col min="6" max="6" width="36.5703125" bestFit="1" customWidth="1"/>
    <col min="8" max="8" width="59.140625" bestFit="1" customWidth="1"/>
    <col min="9" max="9" width="29.140625" bestFit="1" customWidth="1"/>
    <col min="10" max="10" width="19.7109375" bestFit="1" customWidth="1"/>
    <col min="11" max="11" width="67" bestFit="1" customWidth="1"/>
    <col min="12" max="12" width="35.5703125" bestFit="1" customWidth="1"/>
    <col min="14" max="14" width="29" bestFit="1" customWidth="1"/>
    <col min="15" max="15" width="64.7109375" bestFit="1" customWidth="1"/>
    <col min="16" max="16" width="28" bestFit="1" customWidth="1"/>
  </cols>
  <sheetData>
    <row r="1" spans="1:15" x14ac:dyDescent="0.25">
      <c r="A1" t="s">
        <v>343</v>
      </c>
      <c r="B1" t="s">
        <v>345</v>
      </c>
      <c r="C1">
        <f>MAX(Employee_Data!G212:G218)</f>
        <v>7349960</v>
      </c>
    </row>
    <row r="2" spans="1:15" ht="15.75" x14ac:dyDescent="0.25">
      <c r="A2" t="s">
        <v>344</v>
      </c>
      <c r="B2" t="s">
        <v>346</v>
      </c>
      <c r="C2">
        <f>MAX(Employee_Data!D212:D218)</f>
        <v>15</v>
      </c>
      <c r="E2" s="7" t="s">
        <v>370</v>
      </c>
    </row>
    <row r="3" spans="1:15" ht="15.75" x14ac:dyDescent="0.25">
      <c r="A3" t="s">
        <v>347</v>
      </c>
      <c r="B3" t="s">
        <v>348</v>
      </c>
      <c r="C3">
        <f ca="1">MAX(Employee_Data!M212:M218)</f>
        <v>1178</v>
      </c>
      <c r="E3" s="9" t="s">
        <v>357</v>
      </c>
      <c r="F3" t="s">
        <v>359</v>
      </c>
      <c r="K3" s="7" t="s">
        <v>364</v>
      </c>
      <c r="N3" s="7" t="s">
        <v>363</v>
      </c>
    </row>
    <row r="4" spans="1:15" ht="15.75" x14ac:dyDescent="0.25">
      <c r="A4" t="s">
        <v>349</v>
      </c>
      <c r="C4">
        <f>COUNTIF(_xlfn.ANCHORARRAY(Employee_Data!V2),"Below Target")</f>
        <v>54</v>
      </c>
      <c r="E4" s="10" t="s">
        <v>80</v>
      </c>
      <c r="F4">
        <v>14</v>
      </c>
      <c r="H4" s="7" t="s">
        <v>365</v>
      </c>
      <c r="K4" s="9" t="s">
        <v>357</v>
      </c>
      <c r="L4" t="s">
        <v>361</v>
      </c>
      <c r="N4" s="9" t="s">
        <v>357</v>
      </c>
      <c r="O4" t="s">
        <v>362</v>
      </c>
    </row>
    <row r="5" spans="1:15" x14ac:dyDescent="0.25">
      <c r="A5" t="s">
        <v>350</v>
      </c>
      <c r="C5">
        <f>COUNTIF(Employee_Data!W:W,"High Absence")</f>
        <v>40</v>
      </c>
      <c r="E5" s="11" t="s">
        <v>28</v>
      </c>
      <c r="F5">
        <v>14</v>
      </c>
      <c r="H5" s="9" t="s">
        <v>357</v>
      </c>
      <c r="I5" t="s">
        <v>360</v>
      </c>
      <c r="K5" s="10" t="s">
        <v>80</v>
      </c>
      <c r="L5">
        <v>1069</v>
      </c>
      <c r="N5" s="10" t="s">
        <v>38</v>
      </c>
      <c r="O5" s="3">
        <v>1067667</v>
      </c>
    </row>
    <row r="6" spans="1:15" x14ac:dyDescent="0.25">
      <c r="A6" t="s">
        <v>351</v>
      </c>
      <c r="C6" s="3">
        <f>MAX(Employee_Data!M2:M101)</f>
        <v>798419</v>
      </c>
      <c r="E6" s="10" t="s">
        <v>36</v>
      </c>
      <c r="F6">
        <v>15</v>
      </c>
      <c r="H6" s="10" t="s">
        <v>104</v>
      </c>
      <c r="I6" s="3">
        <v>798419</v>
      </c>
      <c r="K6" s="10" t="s">
        <v>36</v>
      </c>
      <c r="L6">
        <v>1155</v>
      </c>
      <c r="N6" s="10" t="s">
        <v>82</v>
      </c>
      <c r="O6" s="3">
        <v>1091461</v>
      </c>
    </row>
    <row r="7" spans="1:15" x14ac:dyDescent="0.25">
      <c r="A7" t="s">
        <v>352</v>
      </c>
      <c r="C7" s="3">
        <f>MIN(Employee_Data!M2:M101)</f>
        <v>201061</v>
      </c>
      <c r="E7" s="11" t="s">
        <v>28</v>
      </c>
      <c r="F7">
        <v>12</v>
      </c>
      <c r="H7" s="10" t="s">
        <v>118</v>
      </c>
      <c r="I7" s="3">
        <v>795932</v>
      </c>
      <c r="K7" s="10" t="s">
        <v>64</v>
      </c>
      <c r="L7">
        <v>1079</v>
      </c>
      <c r="N7" s="10" t="s">
        <v>58</v>
      </c>
      <c r="O7" s="3">
        <v>714451</v>
      </c>
    </row>
    <row r="8" spans="1:15" x14ac:dyDescent="0.25">
      <c r="A8" t="s">
        <v>353</v>
      </c>
      <c r="C8" s="3">
        <f>AVERAGE(Employee_Data!M2:M101)</f>
        <v>483421.05</v>
      </c>
      <c r="E8" s="11" t="s">
        <v>39</v>
      </c>
      <c r="F8">
        <v>1</v>
      </c>
      <c r="H8" s="10" t="s">
        <v>257</v>
      </c>
      <c r="I8" s="3">
        <v>792662</v>
      </c>
      <c r="K8" s="10" t="s">
        <v>56</v>
      </c>
      <c r="L8">
        <v>1178</v>
      </c>
      <c r="N8" s="10" t="s">
        <v>66</v>
      </c>
      <c r="O8" s="3">
        <v>1017120</v>
      </c>
    </row>
    <row r="9" spans="1:15" x14ac:dyDescent="0.25">
      <c r="A9" t="s">
        <v>354</v>
      </c>
      <c r="C9" s="3">
        <f>SUM(Employee_Data!M2:M101,N2:N101)</f>
        <v>48342182</v>
      </c>
      <c r="E9" s="11" t="s">
        <v>67</v>
      </c>
      <c r="F9">
        <v>2</v>
      </c>
      <c r="H9" s="10" t="s">
        <v>158</v>
      </c>
      <c r="I9" s="3">
        <v>787782</v>
      </c>
      <c r="K9" s="10" t="s">
        <v>73</v>
      </c>
      <c r="L9">
        <v>1004</v>
      </c>
      <c r="N9" s="10" t="s">
        <v>26</v>
      </c>
      <c r="O9" s="3">
        <v>1226862</v>
      </c>
    </row>
    <row r="10" spans="1:15" x14ac:dyDescent="0.25">
      <c r="A10" t="s">
        <v>355</v>
      </c>
      <c r="B10" t="s">
        <v>356</v>
      </c>
      <c r="C10">
        <f>MAX(Employee_Data!P2:P101)</f>
        <v>120</v>
      </c>
      <c r="E10" s="10" t="s">
        <v>64</v>
      </c>
      <c r="F10">
        <v>14</v>
      </c>
      <c r="H10" s="10" t="s">
        <v>89</v>
      </c>
      <c r="I10" s="3">
        <v>785909</v>
      </c>
      <c r="K10" s="10" t="s">
        <v>46</v>
      </c>
      <c r="L10">
        <v>1017</v>
      </c>
      <c r="N10" s="10" t="s">
        <v>75</v>
      </c>
      <c r="O10" s="3">
        <v>1400898</v>
      </c>
    </row>
    <row r="11" spans="1:15" x14ac:dyDescent="0.25">
      <c r="E11" s="11" t="s">
        <v>28</v>
      </c>
      <c r="F11">
        <v>9</v>
      </c>
      <c r="H11" s="10" t="s">
        <v>264</v>
      </c>
      <c r="I11" s="3">
        <v>779129</v>
      </c>
      <c r="K11" s="10" t="s">
        <v>24</v>
      </c>
      <c r="L11">
        <v>1165</v>
      </c>
      <c r="N11" s="10" t="s">
        <v>48</v>
      </c>
      <c r="O11" s="3">
        <v>1174206</v>
      </c>
    </row>
    <row r="12" spans="1:15" x14ac:dyDescent="0.25">
      <c r="E12" s="11" t="s">
        <v>39</v>
      </c>
      <c r="F12">
        <v>2</v>
      </c>
      <c r="H12" s="10" t="s">
        <v>227</v>
      </c>
      <c r="I12" s="3">
        <v>777607</v>
      </c>
      <c r="K12" s="10" t="s">
        <v>358</v>
      </c>
      <c r="L12">
        <v>7667</v>
      </c>
      <c r="N12" s="10" t="s">
        <v>358</v>
      </c>
      <c r="O12" s="3">
        <v>7692665</v>
      </c>
    </row>
    <row r="13" spans="1:15" x14ac:dyDescent="0.25">
      <c r="E13" s="11" t="s">
        <v>67</v>
      </c>
      <c r="F13">
        <v>3</v>
      </c>
      <c r="H13" s="10" t="s">
        <v>178</v>
      </c>
      <c r="I13" s="3">
        <v>776350</v>
      </c>
    </row>
    <row r="14" spans="1:15" x14ac:dyDescent="0.25">
      <c r="E14" s="10" t="s">
        <v>56</v>
      </c>
      <c r="F14">
        <v>14</v>
      </c>
      <c r="H14" s="10" t="s">
        <v>191</v>
      </c>
      <c r="I14" s="3">
        <v>768146</v>
      </c>
    </row>
    <row r="15" spans="1:15" ht="15.75" x14ac:dyDescent="0.25">
      <c r="A15" s="7" t="s">
        <v>369</v>
      </c>
      <c r="E15" s="11" t="s">
        <v>28</v>
      </c>
      <c r="F15">
        <v>10</v>
      </c>
      <c r="H15" s="10" t="s">
        <v>215</v>
      </c>
      <c r="I15" s="3">
        <v>763993</v>
      </c>
    </row>
    <row r="16" spans="1:15" x14ac:dyDescent="0.25">
      <c r="A16" s="9" t="s">
        <v>357</v>
      </c>
      <c r="B16" t="s">
        <v>360</v>
      </c>
      <c r="E16" s="11" t="s">
        <v>39</v>
      </c>
      <c r="F16">
        <v>1</v>
      </c>
      <c r="H16" s="10" t="s">
        <v>300</v>
      </c>
      <c r="I16" s="3">
        <v>763335</v>
      </c>
    </row>
    <row r="17" spans="1:15" ht="15.75" x14ac:dyDescent="0.25">
      <c r="A17" s="10" t="s">
        <v>80</v>
      </c>
      <c r="B17" s="3">
        <v>6634937</v>
      </c>
      <c r="E17" s="11" t="s">
        <v>67</v>
      </c>
      <c r="F17">
        <v>3</v>
      </c>
      <c r="H17" s="10" t="s">
        <v>288</v>
      </c>
      <c r="I17" s="3">
        <v>761537</v>
      </c>
      <c r="K17" s="7" t="s">
        <v>366</v>
      </c>
    </row>
    <row r="18" spans="1:15" ht="15.75" x14ac:dyDescent="0.25">
      <c r="A18" s="10" t="s">
        <v>36</v>
      </c>
      <c r="B18" s="3">
        <v>7349960</v>
      </c>
      <c r="E18" s="10" t="s">
        <v>73</v>
      </c>
      <c r="F18">
        <v>14</v>
      </c>
      <c r="H18" s="10" t="s">
        <v>312</v>
      </c>
      <c r="I18" s="3">
        <v>759609</v>
      </c>
      <c r="K18" s="9" t="s">
        <v>357</v>
      </c>
      <c r="L18" t="s">
        <v>360</v>
      </c>
      <c r="N18" s="7" t="s">
        <v>368</v>
      </c>
    </row>
    <row r="19" spans="1:15" x14ac:dyDescent="0.25">
      <c r="A19" s="10" t="s">
        <v>64</v>
      </c>
      <c r="B19" s="3">
        <v>7142603</v>
      </c>
      <c r="E19" s="11" t="s">
        <v>28</v>
      </c>
      <c r="F19">
        <v>10</v>
      </c>
      <c r="H19" s="10" t="s">
        <v>306</v>
      </c>
      <c r="I19" s="3">
        <v>757779</v>
      </c>
      <c r="K19" s="10" t="s">
        <v>42</v>
      </c>
      <c r="L19" s="3">
        <v>728893</v>
      </c>
      <c r="N19" s="9" t="s">
        <v>357</v>
      </c>
      <c r="O19" t="s">
        <v>367</v>
      </c>
    </row>
    <row r="20" spans="1:15" x14ac:dyDescent="0.25">
      <c r="A20" s="10" t="s">
        <v>56</v>
      </c>
      <c r="B20" s="3">
        <v>6361094</v>
      </c>
      <c r="E20" s="11" t="s">
        <v>39</v>
      </c>
      <c r="F20">
        <v>3</v>
      </c>
      <c r="H20" s="10" t="s">
        <v>197</v>
      </c>
      <c r="I20" s="3">
        <v>756346</v>
      </c>
      <c r="K20" s="10" t="s">
        <v>69</v>
      </c>
      <c r="L20" s="3">
        <v>710458</v>
      </c>
      <c r="N20" s="10">
        <v>2</v>
      </c>
      <c r="O20" s="12">
        <v>8</v>
      </c>
    </row>
    <row r="21" spans="1:15" x14ac:dyDescent="0.25">
      <c r="A21" s="10" t="s">
        <v>73</v>
      </c>
      <c r="B21" s="3">
        <v>6869489</v>
      </c>
      <c r="E21" s="11" t="s">
        <v>67</v>
      </c>
      <c r="F21">
        <v>1</v>
      </c>
      <c r="H21" s="10" t="s">
        <v>294</v>
      </c>
      <c r="I21" s="3">
        <v>754008</v>
      </c>
      <c r="K21" s="10" t="s">
        <v>89</v>
      </c>
      <c r="L21" s="3">
        <v>785909</v>
      </c>
      <c r="N21" s="10">
        <v>3</v>
      </c>
      <c r="O21" s="12">
        <v>39</v>
      </c>
    </row>
    <row r="22" spans="1:15" x14ac:dyDescent="0.25">
      <c r="A22" s="10" t="s">
        <v>46</v>
      </c>
      <c r="B22" s="3">
        <v>6711627</v>
      </c>
      <c r="E22" s="10" t="s">
        <v>46</v>
      </c>
      <c r="F22">
        <v>14</v>
      </c>
      <c r="H22" s="10" t="s">
        <v>276</v>
      </c>
      <c r="I22" s="3">
        <v>753476</v>
      </c>
      <c r="K22" s="10" t="s">
        <v>104</v>
      </c>
      <c r="L22" s="3">
        <v>798419</v>
      </c>
      <c r="N22" s="10">
        <v>4</v>
      </c>
      <c r="O22" s="12">
        <v>32</v>
      </c>
    </row>
    <row r="23" spans="1:15" x14ac:dyDescent="0.25">
      <c r="A23" s="10" t="s">
        <v>24</v>
      </c>
      <c r="B23" s="3">
        <v>7272395</v>
      </c>
      <c r="E23" s="11" t="s">
        <v>28</v>
      </c>
      <c r="F23">
        <v>10</v>
      </c>
      <c r="H23" s="10" t="s">
        <v>282</v>
      </c>
      <c r="I23" s="3">
        <v>745236</v>
      </c>
      <c r="K23" s="10" t="s">
        <v>118</v>
      </c>
      <c r="L23" s="3">
        <v>795932</v>
      </c>
      <c r="N23" s="10">
        <v>5</v>
      </c>
      <c r="O23" s="12">
        <v>30</v>
      </c>
    </row>
    <row r="24" spans="1:15" x14ac:dyDescent="0.25">
      <c r="A24" s="10" t="s">
        <v>358</v>
      </c>
      <c r="B24" s="3">
        <v>48342105</v>
      </c>
      <c r="E24" s="11" t="s">
        <v>39</v>
      </c>
      <c r="F24">
        <v>1</v>
      </c>
      <c r="H24" s="10" t="s">
        <v>270</v>
      </c>
      <c r="I24" s="3">
        <v>741224</v>
      </c>
      <c r="K24" s="10" t="s">
        <v>128</v>
      </c>
      <c r="L24" s="3">
        <v>708834</v>
      </c>
      <c r="N24" s="10">
        <v>6</v>
      </c>
      <c r="O24" s="12">
        <v>30</v>
      </c>
    </row>
    <row r="25" spans="1:15" x14ac:dyDescent="0.25">
      <c r="E25" s="11" t="s">
        <v>67</v>
      </c>
      <c r="F25">
        <v>3</v>
      </c>
      <c r="H25" s="10" t="s">
        <v>185</v>
      </c>
      <c r="I25" s="3">
        <v>740001</v>
      </c>
      <c r="K25" s="10" t="s">
        <v>139</v>
      </c>
      <c r="L25" s="3">
        <v>725112</v>
      </c>
      <c r="N25" s="10">
        <v>7</v>
      </c>
      <c r="O25" s="12">
        <v>63</v>
      </c>
    </row>
    <row r="26" spans="1:15" x14ac:dyDescent="0.25">
      <c r="E26" s="10" t="s">
        <v>24</v>
      </c>
      <c r="F26">
        <v>15</v>
      </c>
      <c r="H26" s="10" t="s">
        <v>245</v>
      </c>
      <c r="I26" s="3">
        <v>739618</v>
      </c>
      <c r="K26" s="10" t="s">
        <v>149</v>
      </c>
      <c r="L26" s="3">
        <v>724890</v>
      </c>
      <c r="N26" s="10">
        <v>8</v>
      </c>
      <c r="O26" s="12">
        <v>80</v>
      </c>
    </row>
    <row r="27" spans="1:15" x14ac:dyDescent="0.25">
      <c r="E27" s="11" t="s">
        <v>28</v>
      </c>
      <c r="F27">
        <v>9</v>
      </c>
      <c r="H27" s="10" t="s">
        <v>239</v>
      </c>
      <c r="I27" s="3">
        <v>738566</v>
      </c>
      <c r="K27" s="10" t="s">
        <v>158</v>
      </c>
      <c r="L27" s="3">
        <v>787782</v>
      </c>
      <c r="N27" s="10">
        <v>9</v>
      </c>
      <c r="O27" s="12">
        <v>36</v>
      </c>
    </row>
    <row r="28" spans="1:15" x14ac:dyDescent="0.25">
      <c r="E28" s="11" t="s">
        <v>39</v>
      </c>
      <c r="F28">
        <v>1</v>
      </c>
      <c r="H28" s="10" t="s">
        <v>170</v>
      </c>
      <c r="I28" s="3">
        <v>734664</v>
      </c>
      <c r="K28" s="10" t="s">
        <v>170</v>
      </c>
      <c r="L28" s="3">
        <v>734664</v>
      </c>
      <c r="N28" s="10">
        <v>10</v>
      </c>
      <c r="O28" s="12">
        <v>110</v>
      </c>
    </row>
    <row r="29" spans="1:15" x14ac:dyDescent="0.25">
      <c r="E29" s="11" t="s">
        <v>67</v>
      </c>
      <c r="F29">
        <v>5</v>
      </c>
      <c r="H29" s="10" t="s">
        <v>42</v>
      </c>
      <c r="I29" s="3">
        <v>728893</v>
      </c>
      <c r="K29" s="10" t="s">
        <v>178</v>
      </c>
      <c r="L29" s="3">
        <v>776350</v>
      </c>
      <c r="N29" s="10">
        <v>11</v>
      </c>
      <c r="O29" s="12">
        <v>88</v>
      </c>
    </row>
    <row r="30" spans="1:15" x14ac:dyDescent="0.25">
      <c r="E30" s="10" t="s">
        <v>358</v>
      </c>
      <c r="F30">
        <v>100</v>
      </c>
      <c r="H30" s="10" t="s">
        <v>139</v>
      </c>
      <c r="I30" s="3">
        <v>725112</v>
      </c>
      <c r="K30" s="10" t="s">
        <v>185</v>
      </c>
      <c r="L30" s="3">
        <v>740001</v>
      </c>
      <c r="N30" s="10">
        <v>12</v>
      </c>
      <c r="O30" s="12">
        <v>84</v>
      </c>
    </row>
    <row r="31" spans="1:15" x14ac:dyDescent="0.25">
      <c r="H31" s="10" t="s">
        <v>149</v>
      </c>
      <c r="I31" s="3">
        <v>724890</v>
      </c>
      <c r="K31" s="10" t="s">
        <v>191</v>
      </c>
      <c r="L31" s="3">
        <v>768146</v>
      </c>
      <c r="N31" s="10" t="s">
        <v>358</v>
      </c>
      <c r="O31" s="12">
        <v>600</v>
      </c>
    </row>
    <row r="32" spans="1:15" x14ac:dyDescent="0.25">
      <c r="H32" s="10" t="s">
        <v>203</v>
      </c>
      <c r="I32" s="3">
        <v>719342</v>
      </c>
      <c r="K32" s="10" t="s">
        <v>197</v>
      </c>
      <c r="L32" s="3">
        <v>756346</v>
      </c>
    </row>
    <row r="33" spans="1:12" x14ac:dyDescent="0.25">
      <c r="H33" s="10" t="s">
        <v>251</v>
      </c>
      <c r="I33" s="3">
        <v>715525</v>
      </c>
      <c r="K33" s="10" t="s">
        <v>203</v>
      </c>
      <c r="L33" s="3">
        <v>719342</v>
      </c>
    </row>
    <row r="34" spans="1:12" ht="18.75" x14ac:dyDescent="0.3">
      <c r="E34" s="13" t="s">
        <v>371</v>
      </c>
      <c r="H34" s="10" t="s">
        <v>233</v>
      </c>
      <c r="I34" s="3">
        <v>711359</v>
      </c>
      <c r="K34" s="10" t="s">
        <v>209</v>
      </c>
      <c r="L34" s="3">
        <v>710155</v>
      </c>
    </row>
    <row r="35" spans="1:12" x14ac:dyDescent="0.25">
      <c r="E35" s="9" t="s">
        <v>357</v>
      </c>
      <c r="F35" t="s">
        <v>359</v>
      </c>
      <c r="H35" s="10" t="s">
        <v>69</v>
      </c>
      <c r="I35" s="3">
        <v>710458</v>
      </c>
      <c r="K35" s="10" t="s">
        <v>215</v>
      </c>
      <c r="L35" s="3">
        <v>763993</v>
      </c>
    </row>
    <row r="36" spans="1:12" x14ac:dyDescent="0.25">
      <c r="E36" s="10" t="s">
        <v>49</v>
      </c>
      <c r="F36" s="12">
        <v>33</v>
      </c>
      <c r="H36" s="10" t="s">
        <v>209</v>
      </c>
      <c r="I36" s="3">
        <v>710155</v>
      </c>
      <c r="K36" s="10" t="s">
        <v>221</v>
      </c>
      <c r="L36" s="3">
        <v>702540</v>
      </c>
    </row>
    <row r="37" spans="1:12" x14ac:dyDescent="0.25">
      <c r="E37" s="10" t="s">
        <v>27</v>
      </c>
      <c r="F37" s="12">
        <v>67</v>
      </c>
      <c r="H37" s="10" t="s">
        <v>128</v>
      </c>
      <c r="I37" s="3">
        <v>708834</v>
      </c>
      <c r="K37" s="10" t="s">
        <v>227</v>
      </c>
      <c r="L37" s="3">
        <v>777607</v>
      </c>
    </row>
    <row r="38" spans="1:12" x14ac:dyDescent="0.25">
      <c r="E38" s="10" t="s">
        <v>358</v>
      </c>
      <c r="F38" s="12">
        <v>100</v>
      </c>
      <c r="H38" s="10" t="s">
        <v>221</v>
      </c>
      <c r="I38" s="3">
        <v>702540</v>
      </c>
      <c r="K38" s="10" t="s">
        <v>233</v>
      </c>
      <c r="L38" s="3">
        <v>711359</v>
      </c>
    </row>
    <row r="39" spans="1:12" x14ac:dyDescent="0.25">
      <c r="H39" s="10" t="s">
        <v>243</v>
      </c>
      <c r="I39" s="3">
        <v>499901</v>
      </c>
      <c r="K39" s="10" t="s">
        <v>239</v>
      </c>
      <c r="L39" s="3">
        <v>738566</v>
      </c>
    </row>
    <row r="40" spans="1:12" x14ac:dyDescent="0.25">
      <c r="H40" s="10" t="s">
        <v>310</v>
      </c>
      <c r="I40" s="3">
        <v>498848</v>
      </c>
      <c r="K40" s="10" t="s">
        <v>245</v>
      </c>
      <c r="L40" s="3">
        <v>739618</v>
      </c>
    </row>
    <row r="41" spans="1:12" x14ac:dyDescent="0.25">
      <c r="H41" s="10" t="s">
        <v>207</v>
      </c>
      <c r="I41" s="3">
        <v>497472</v>
      </c>
      <c r="K41" s="10" t="s">
        <v>251</v>
      </c>
      <c r="L41" s="3">
        <v>715525</v>
      </c>
    </row>
    <row r="42" spans="1:12" x14ac:dyDescent="0.25">
      <c r="H42" s="10" t="s">
        <v>237</v>
      </c>
      <c r="I42" s="3">
        <v>494381</v>
      </c>
      <c r="K42" s="10" t="s">
        <v>257</v>
      </c>
      <c r="L42" s="3">
        <v>792662</v>
      </c>
    </row>
    <row r="43" spans="1:12" x14ac:dyDescent="0.25">
      <c r="H43" s="10" t="s">
        <v>262</v>
      </c>
      <c r="I43" s="3">
        <v>490266</v>
      </c>
      <c r="K43" s="10" t="s">
        <v>264</v>
      </c>
      <c r="L43" s="3">
        <v>779129</v>
      </c>
    </row>
    <row r="44" spans="1:12" x14ac:dyDescent="0.25">
      <c r="H44" s="10" t="s">
        <v>84</v>
      </c>
      <c r="I44" s="3">
        <v>489733</v>
      </c>
      <c r="K44" s="10" t="s">
        <v>270</v>
      </c>
      <c r="L44" s="3">
        <v>741224</v>
      </c>
    </row>
    <row r="45" spans="1:12" x14ac:dyDescent="0.25">
      <c r="H45" s="10" t="s">
        <v>268</v>
      </c>
      <c r="I45" s="3">
        <v>487835</v>
      </c>
      <c r="K45" s="10" t="s">
        <v>276</v>
      </c>
      <c r="L45" s="3">
        <v>753476</v>
      </c>
    </row>
    <row r="46" spans="1:12" x14ac:dyDescent="0.25">
      <c r="H46" s="10" t="s">
        <v>183</v>
      </c>
      <c r="I46" s="3">
        <v>487806</v>
      </c>
      <c r="K46" s="10" t="s">
        <v>282</v>
      </c>
      <c r="L46" s="3">
        <v>745236</v>
      </c>
    </row>
    <row r="47" spans="1:12" x14ac:dyDescent="0.25">
      <c r="H47" s="10" t="s">
        <v>304</v>
      </c>
      <c r="I47" s="3">
        <v>483442</v>
      </c>
      <c r="K47" s="10" t="s">
        <v>288</v>
      </c>
      <c r="L47" s="3">
        <v>761537</v>
      </c>
    </row>
    <row r="48" spans="1:12" x14ac:dyDescent="0.25">
      <c r="A48" s="9" t="s">
        <v>357</v>
      </c>
      <c r="B48" t="s">
        <v>367</v>
      </c>
      <c r="H48" s="10" t="s">
        <v>113</v>
      </c>
      <c r="I48" s="3">
        <v>478504</v>
      </c>
      <c r="K48" s="10" t="s">
        <v>294</v>
      </c>
      <c r="L48" s="3">
        <v>754008</v>
      </c>
    </row>
    <row r="49" spans="1:12" x14ac:dyDescent="0.25">
      <c r="A49" s="10" t="s">
        <v>80</v>
      </c>
      <c r="B49" s="12">
        <v>83</v>
      </c>
      <c r="H49" s="10" t="s">
        <v>98</v>
      </c>
      <c r="I49" s="3">
        <v>478172</v>
      </c>
      <c r="K49" s="10" t="s">
        <v>300</v>
      </c>
      <c r="L49" s="3">
        <v>763335</v>
      </c>
    </row>
    <row r="50" spans="1:12" x14ac:dyDescent="0.25">
      <c r="A50" s="10" t="s">
        <v>36</v>
      </c>
      <c r="B50" s="12">
        <v>107</v>
      </c>
      <c r="H50" s="10" t="s">
        <v>32</v>
      </c>
      <c r="I50" s="3">
        <v>477397</v>
      </c>
      <c r="K50" s="10" t="s">
        <v>306</v>
      </c>
      <c r="L50" s="3">
        <v>757779</v>
      </c>
    </row>
    <row r="51" spans="1:12" x14ac:dyDescent="0.25">
      <c r="A51" s="10" t="s">
        <v>64</v>
      </c>
      <c r="B51" s="12">
        <v>62</v>
      </c>
      <c r="H51" s="10" t="s">
        <v>286</v>
      </c>
      <c r="I51" s="3">
        <v>477356</v>
      </c>
      <c r="K51" s="10" t="s">
        <v>312</v>
      </c>
      <c r="L51" s="3">
        <v>759609</v>
      </c>
    </row>
    <row r="52" spans="1:12" x14ac:dyDescent="0.25">
      <c r="A52" s="10" t="s">
        <v>56</v>
      </c>
      <c r="B52" s="12">
        <v>79</v>
      </c>
      <c r="H52" s="10" t="s">
        <v>213</v>
      </c>
      <c r="I52" s="3">
        <v>475456</v>
      </c>
      <c r="K52" s="10" t="s">
        <v>358</v>
      </c>
      <c r="L52" s="3">
        <v>24728436</v>
      </c>
    </row>
    <row r="53" spans="1:12" x14ac:dyDescent="0.25">
      <c r="A53" s="10" t="s">
        <v>73</v>
      </c>
      <c r="B53" s="12">
        <v>95</v>
      </c>
      <c r="H53" s="10" t="s">
        <v>155</v>
      </c>
      <c r="I53" s="3">
        <v>474668</v>
      </c>
    </row>
    <row r="54" spans="1:12" x14ac:dyDescent="0.25">
      <c r="A54" s="10" t="s">
        <v>46</v>
      </c>
      <c r="B54" s="12">
        <v>72</v>
      </c>
      <c r="H54" s="10" t="s">
        <v>60</v>
      </c>
      <c r="I54" s="3">
        <v>472357</v>
      </c>
    </row>
    <row r="55" spans="1:12" x14ac:dyDescent="0.25">
      <c r="A55" s="10" t="s">
        <v>24</v>
      </c>
      <c r="B55" s="12">
        <v>108</v>
      </c>
      <c r="H55" s="10" t="s">
        <v>274</v>
      </c>
      <c r="I55" s="3">
        <v>457424</v>
      </c>
    </row>
    <row r="56" spans="1:12" x14ac:dyDescent="0.25">
      <c r="A56" s="10" t="s">
        <v>358</v>
      </c>
      <c r="B56" s="12">
        <v>606</v>
      </c>
      <c r="H56" s="10" t="s">
        <v>231</v>
      </c>
      <c r="I56" s="3">
        <v>457080</v>
      </c>
    </row>
    <row r="57" spans="1:12" x14ac:dyDescent="0.25">
      <c r="H57" s="10" t="s">
        <v>195</v>
      </c>
      <c r="I57" s="3">
        <v>455108</v>
      </c>
    </row>
    <row r="58" spans="1:12" x14ac:dyDescent="0.25">
      <c r="H58" s="10" t="s">
        <v>135</v>
      </c>
      <c r="I58" s="3">
        <v>453883</v>
      </c>
    </row>
    <row r="59" spans="1:12" x14ac:dyDescent="0.25">
      <c r="H59" s="10" t="s">
        <v>280</v>
      </c>
      <c r="I59" s="3">
        <v>444548</v>
      </c>
    </row>
    <row r="60" spans="1:12" x14ac:dyDescent="0.25">
      <c r="A60" s="9" t="s">
        <v>357</v>
      </c>
      <c r="B60" t="s">
        <v>359</v>
      </c>
      <c r="H60" s="10" t="s">
        <v>219</v>
      </c>
      <c r="I60" s="3">
        <v>434099</v>
      </c>
    </row>
    <row r="61" spans="1:12" x14ac:dyDescent="0.25">
      <c r="A61" s="10" t="s">
        <v>28</v>
      </c>
      <c r="B61" s="12">
        <v>74</v>
      </c>
      <c r="H61" s="10" t="s">
        <v>124</v>
      </c>
      <c r="I61" s="3">
        <v>432493</v>
      </c>
    </row>
    <row r="62" spans="1:12" x14ac:dyDescent="0.25">
      <c r="A62" s="10" t="s">
        <v>39</v>
      </c>
      <c r="B62" s="12">
        <v>9</v>
      </c>
      <c r="H62" s="10" t="s">
        <v>255</v>
      </c>
      <c r="I62" s="3">
        <v>431439</v>
      </c>
    </row>
    <row r="63" spans="1:12" x14ac:dyDescent="0.25">
      <c r="A63" s="10" t="s">
        <v>67</v>
      </c>
      <c r="B63" s="12">
        <v>17</v>
      </c>
      <c r="H63" s="10" t="s">
        <v>225</v>
      </c>
      <c r="I63" s="3">
        <v>421992</v>
      </c>
    </row>
    <row r="64" spans="1:12" x14ac:dyDescent="0.25">
      <c r="A64" s="10" t="s">
        <v>358</v>
      </c>
      <c r="B64" s="12">
        <v>100</v>
      </c>
      <c r="H64" s="10" t="s">
        <v>292</v>
      </c>
      <c r="I64" s="3">
        <v>421805</v>
      </c>
    </row>
    <row r="65" spans="8:9" x14ac:dyDescent="0.25">
      <c r="H65" s="10" t="s">
        <v>176</v>
      </c>
      <c r="I65" s="3">
        <v>421178</v>
      </c>
    </row>
    <row r="66" spans="8:9" x14ac:dyDescent="0.25">
      <c r="H66" s="10" t="s">
        <v>166</v>
      </c>
      <c r="I66" s="3">
        <v>420676</v>
      </c>
    </row>
    <row r="67" spans="8:9" x14ac:dyDescent="0.25">
      <c r="H67" s="10" t="s">
        <v>189</v>
      </c>
      <c r="I67" s="3">
        <v>414208</v>
      </c>
    </row>
    <row r="68" spans="8:9" x14ac:dyDescent="0.25">
      <c r="H68" s="10" t="s">
        <v>298</v>
      </c>
      <c r="I68" s="3">
        <v>409681</v>
      </c>
    </row>
    <row r="69" spans="8:9" x14ac:dyDescent="0.25">
      <c r="H69" s="10" t="s">
        <v>249</v>
      </c>
      <c r="I69" s="3">
        <v>408564</v>
      </c>
    </row>
    <row r="70" spans="8:9" x14ac:dyDescent="0.25">
      <c r="H70" s="10" t="s">
        <v>145</v>
      </c>
      <c r="I70" s="3">
        <v>407685</v>
      </c>
    </row>
    <row r="71" spans="8:9" x14ac:dyDescent="0.25">
      <c r="H71" s="10" t="s">
        <v>201</v>
      </c>
      <c r="I71" s="3">
        <v>403201</v>
      </c>
    </row>
    <row r="72" spans="8:9" x14ac:dyDescent="0.25">
      <c r="H72" s="10" t="s">
        <v>109</v>
      </c>
      <c r="I72" s="3">
        <v>299871</v>
      </c>
    </row>
    <row r="73" spans="8:9" x14ac:dyDescent="0.25">
      <c r="H73" s="10" t="s">
        <v>193</v>
      </c>
      <c r="I73" s="3">
        <v>286951</v>
      </c>
    </row>
    <row r="74" spans="8:9" x14ac:dyDescent="0.25">
      <c r="H74" s="10" t="s">
        <v>260</v>
      </c>
      <c r="I74" s="3">
        <v>284886</v>
      </c>
    </row>
    <row r="75" spans="8:9" x14ac:dyDescent="0.25">
      <c r="H75" s="10" t="s">
        <v>187</v>
      </c>
      <c r="I75" s="3">
        <v>284080</v>
      </c>
    </row>
    <row r="76" spans="8:9" x14ac:dyDescent="0.25">
      <c r="H76" s="10" t="s">
        <v>20</v>
      </c>
      <c r="I76" s="3">
        <v>283810</v>
      </c>
    </row>
    <row r="77" spans="8:9" x14ac:dyDescent="0.25">
      <c r="H77" s="10" t="s">
        <v>223</v>
      </c>
      <c r="I77" s="3">
        <v>281439</v>
      </c>
    </row>
    <row r="78" spans="8:9" x14ac:dyDescent="0.25">
      <c r="H78" s="10" t="s">
        <v>76</v>
      </c>
      <c r="I78" s="3">
        <v>279840</v>
      </c>
    </row>
    <row r="79" spans="8:9" x14ac:dyDescent="0.25">
      <c r="H79" s="10" t="s">
        <v>121</v>
      </c>
      <c r="I79" s="3">
        <v>279507</v>
      </c>
    </row>
    <row r="80" spans="8:9" x14ac:dyDescent="0.25">
      <c r="H80" s="10" t="s">
        <v>296</v>
      </c>
      <c r="I80" s="3">
        <v>276435</v>
      </c>
    </row>
    <row r="81" spans="8:9" x14ac:dyDescent="0.25">
      <c r="H81" s="10" t="s">
        <v>132</v>
      </c>
      <c r="I81" s="3">
        <v>275525</v>
      </c>
    </row>
    <row r="82" spans="8:9" x14ac:dyDescent="0.25">
      <c r="H82" s="10" t="s">
        <v>162</v>
      </c>
      <c r="I82" s="3">
        <v>273792</v>
      </c>
    </row>
    <row r="83" spans="8:9" x14ac:dyDescent="0.25">
      <c r="H83" s="10" t="s">
        <v>217</v>
      </c>
      <c r="I83" s="3">
        <v>270008</v>
      </c>
    </row>
    <row r="84" spans="8:9" x14ac:dyDescent="0.25">
      <c r="H84" s="10" t="s">
        <v>266</v>
      </c>
      <c r="I84" s="3">
        <v>268021</v>
      </c>
    </row>
    <row r="85" spans="8:9" x14ac:dyDescent="0.25">
      <c r="H85" s="10" t="s">
        <v>272</v>
      </c>
      <c r="I85" s="3">
        <v>267952</v>
      </c>
    </row>
    <row r="86" spans="8:9" x14ac:dyDescent="0.25">
      <c r="H86" s="10" t="s">
        <v>152</v>
      </c>
      <c r="I86" s="3">
        <v>265909</v>
      </c>
    </row>
    <row r="87" spans="8:9" x14ac:dyDescent="0.25">
      <c r="H87" s="10" t="s">
        <v>173</v>
      </c>
      <c r="I87" s="3">
        <v>264032</v>
      </c>
    </row>
    <row r="88" spans="8:9" x14ac:dyDescent="0.25">
      <c r="H88" s="10" t="s">
        <v>278</v>
      </c>
      <c r="I88" s="3">
        <v>263242</v>
      </c>
    </row>
    <row r="89" spans="8:9" x14ac:dyDescent="0.25">
      <c r="H89" s="10" t="s">
        <v>253</v>
      </c>
      <c r="I89" s="3">
        <v>256207</v>
      </c>
    </row>
    <row r="90" spans="8:9" x14ac:dyDescent="0.25">
      <c r="H90" s="10" t="s">
        <v>94</v>
      </c>
      <c r="I90" s="3">
        <v>256155</v>
      </c>
    </row>
    <row r="91" spans="8:9" x14ac:dyDescent="0.25">
      <c r="H91" s="10" t="s">
        <v>284</v>
      </c>
      <c r="I91" s="3">
        <v>253841</v>
      </c>
    </row>
    <row r="92" spans="8:9" x14ac:dyDescent="0.25">
      <c r="H92" s="10" t="s">
        <v>308</v>
      </c>
      <c r="I92" s="3">
        <v>247953</v>
      </c>
    </row>
    <row r="93" spans="8:9" x14ac:dyDescent="0.25">
      <c r="H93" s="10" t="s">
        <v>181</v>
      </c>
      <c r="I93" s="3">
        <v>246357</v>
      </c>
    </row>
    <row r="94" spans="8:9" x14ac:dyDescent="0.25">
      <c r="H94" s="10" t="s">
        <v>241</v>
      </c>
      <c r="I94" s="3">
        <v>243357</v>
      </c>
    </row>
    <row r="95" spans="8:9" x14ac:dyDescent="0.25">
      <c r="H95" s="10" t="s">
        <v>199</v>
      </c>
      <c r="I95" s="3">
        <v>237196</v>
      </c>
    </row>
    <row r="96" spans="8:9" x14ac:dyDescent="0.25">
      <c r="H96" s="10" t="s">
        <v>235</v>
      </c>
      <c r="I96" s="3">
        <v>227802</v>
      </c>
    </row>
    <row r="97" spans="8:9" x14ac:dyDescent="0.25">
      <c r="H97" s="10" t="s">
        <v>205</v>
      </c>
      <c r="I97" s="3">
        <v>215906</v>
      </c>
    </row>
    <row r="98" spans="8:9" x14ac:dyDescent="0.25">
      <c r="H98" s="10" t="s">
        <v>247</v>
      </c>
      <c r="I98" s="3">
        <v>213446</v>
      </c>
    </row>
    <row r="99" spans="8:9" x14ac:dyDescent="0.25">
      <c r="H99" s="10" t="s">
        <v>142</v>
      </c>
      <c r="I99" s="3">
        <v>212833</v>
      </c>
    </row>
    <row r="100" spans="8:9" x14ac:dyDescent="0.25">
      <c r="H100" s="10" t="s">
        <v>52</v>
      </c>
      <c r="I100" s="3">
        <v>212156</v>
      </c>
    </row>
    <row r="101" spans="8:9" x14ac:dyDescent="0.25">
      <c r="H101" s="10" t="s">
        <v>229</v>
      </c>
      <c r="I101" s="3">
        <v>209038</v>
      </c>
    </row>
    <row r="102" spans="8:9" x14ac:dyDescent="0.25">
      <c r="H102" s="10" t="s">
        <v>211</v>
      </c>
      <c r="I102" s="3">
        <v>208418</v>
      </c>
    </row>
    <row r="103" spans="8:9" x14ac:dyDescent="0.25">
      <c r="H103" s="10" t="s">
        <v>290</v>
      </c>
      <c r="I103" s="3">
        <v>204705</v>
      </c>
    </row>
    <row r="104" spans="8:9" x14ac:dyDescent="0.25">
      <c r="H104" s="10" t="s">
        <v>314</v>
      </c>
      <c r="I104" s="3">
        <v>203280</v>
      </c>
    </row>
    <row r="105" spans="8:9" x14ac:dyDescent="0.25">
      <c r="H105" s="10" t="s">
        <v>302</v>
      </c>
      <c r="I105" s="3">
        <v>201061</v>
      </c>
    </row>
    <row r="106" spans="8:9" x14ac:dyDescent="0.25">
      <c r="H106" s="10" t="s">
        <v>358</v>
      </c>
      <c r="I106" s="3">
        <v>48342105</v>
      </c>
    </row>
  </sheetData>
  <pageMargins left="0.7" right="0.7" top="0.75" bottom="0.75" header="0.3" footer="0.3"/>
  <pageSetup orientation="portrait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4" t="s">
        <v>11</v>
      </c>
      <c r="B1" s="4" t="s">
        <v>316</v>
      </c>
      <c r="C1" s="4" t="s">
        <v>317</v>
      </c>
      <c r="D1" s="4" t="s">
        <v>318</v>
      </c>
    </row>
    <row r="2" spans="1:4" x14ac:dyDescent="0.25">
      <c r="A2" t="s">
        <v>29</v>
      </c>
      <c r="B2">
        <v>180000</v>
      </c>
      <c r="C2">
        <v>319999</v>
      </c>
      <c r="D2" s="5">
        <v>0.05</v>
      </c>
    </row>
    <row r="3" spans="1:4" x14ac:dyDescent="0.25">
      <c r="A3" t="s">
        <v>40</v>
      </c>
      <c r="B3">
        <v>320000</v>
      </c>
      <c r="C3">
        <v>549999</v>
      </c>
      <c r="D3" s="5">
        <v>0.08</v>
      </c>
    </row>
    <row r="4" spans="1:4" x14ac:dyDescent="0.25">
      <c r="A4" t="s">
        <v>50</v>
      </c>
      <c r="B4">
        <v>550000</v>
      </c>
      <c r="C4">
        <v>999999</v>
      </c>
      <c r="D4" s="5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Sheet1</vt:lpstr>
      <vt:lpstr>Lookup_Table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2026-08-13T15:43:59Z</dcterms:created>
  <dcterms:modified xsi:type="dcterms:W3CDTF">2026-09-23T08:41:07Z</dcterms:modified>
</cp:coreProperties>
</file>